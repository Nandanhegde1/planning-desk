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against INR, GBP - indexed to 100 at series start</a:t>
            </a:r>
          </a:p>
        </rich>
      </tx>
    </title>
    <plotArea>
      <lineChart>
        <grouping val="standard"/>
        <ser>
          <idx val="0"/>
          <order val="0"/>
          <tx>
            <strRef>
              <f>'Rates'!C1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'Rates'!$A$2:$A$731</f>
            </numRef>
          </cat>
          <val>
            <numRef>
              <f>'Rates'!$C$2:$C$731</f>
            </numRef>
          </val>
        </ser>
        <ser>
          <idx val="1"/>
          <order val="1"/>
          <tx>
            <strRef>
              <f>'Rates'!G1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'Rates'!$A$2:$A$731</f>
            </numRef>
          </cat>
          <val>
            <numRef>
              <f>'Rates'!$G$2:$G$731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Date</t>
        </is>
      </c>
      <c r="B1" s="1" t="inlineStr">
        <is>
          <t>USD/INR rate</t>
        </is>
      </c>
      <c r="C1" s="1" t="inlineStr">
        <is>
          <t>USD/INR index (start=100)</t>
        </is>
      </c>
      <c r="D1" s="1" t="inlineStr">
        <is>
          <t>USD/INR 30d average</t>
        </is>
      </c>
      <c r="E1" s="1" t="inlineStr">
        <is>
          <t>USD/INR trend</t>
        </is>
      </c>
      <c r="F1" s="1" t="inlineStr">
        <is>
          <t>USD/GBP rate</t>
        </is>
      </c>
      <c r="G1" s="1" t="inlineStr">
        <is>
          <t>USD/GBP index (start=100)</t>
        </is>
      </c>
      <c r="H1" s="1" t="inlineStr">
        <is>
          <t>USD/GBP 30d average</t>
        </is>
      </c>
      <c r="I1" s="1" t="inlineStr">
        <is>
          <t>USD/GBP trend</t>
        </is>
      </c>
      <c r="J1" s="1" t="inlineStr">
        <is>
          <t>Carried forward</t>
        </is>
      </c>
    </row>
    <row r="2">
      <c r="A2" s="2" t="n">
        <v>45292</v>
      </c>
      <c r="B2" s="3" t="n">
        <v>80</v>
      </c>
      <c r="C2" s="4">
        <f>B2/B$2*100</f>
        <v/>
      </c>
      <c r="D2" s="5">
        <f>""</f>
        <v/>
      </c>
      <c r="E2" s="5">
        <f>SLOPE(B$2:B$731,$A$2:$A$731)*$A2+INTERCEPT(B$2:B$731,$A$2:$A$731)</f>
        <v/>
      </c>
      <c r="F2" s="3" t="n">
        <v>0.79</v>
      </c>
      <c r="G2" s="4">
        <f>F2/F$2*100</f>
        <v/>
      </c>
      <c r="H2" s="5">
        <f>""</f>
        <v/>
      </c>
      <c r="I2" s="5">
        <f>SLOPE(F$2:F$731,$A$2:$A$731)*$A2+INTERCEPT(F$2:F$731,$A$2:$A$731)</f>
        <v/>
      </c>
      <c r="J2" s="6" t="inlineStr"/>
    </row>
    <row r="3">
      <c r="A3" s="2" t="n">
        <v>45293</v>
      </c>
      <c r="B3" s="3" t="n">
        <v>80.01000000000001</v>
      </c>
      <c r="C3" s="4">
        <f>B3/B$2*100</f>
        <v/>
      </c>
      <c r="D3" s="5">
        <f>""</f>
        <v/>
      </c>
      <c r="E3" s="5">
        <f>SLOPE(B$2:B$731,$A$2:$A$731)*$A3+INTERCEPT(B$2:B$731,$A$2:$A$731)</f>
        <v/>
      </c>
      <c r="F3" s="3" t="n">
        <v>0.79</v>
      </c>
      <c r="G3" s="4">
        <f>F3/F$2*100</f>
        <v/>
      </c>
      <c r="H3" s="5">
        <f>""</f>
        <v/>
      </c>
      <c r="I3" s="5">
        <f>SLOPE(F$2:F$731,$A$2:$A$731)*$A3+INTERCEPT(F$2:F$731,$A$2:$A$731)</f>
        <v/>
      </c>
      <c r="J3" s="6" t="inlineStr"/>
    </row>
    <row r="4">
      <c r="A4" s="2" t="n">
        <v>45294</v>
      </c>
      <c r="B4" s="3" t="n">
        <v>80.02</v>
      </c>
      <c r="C4" s="4">
        <f>B4/B$2*100</f>
        <v/>
      </c>
      <c r="D4" s="5">
        <f>""</f>
        <v/>
      </c>
      <c r="E4" s="5">
        <f>SLOPE(B$2:B$731,$A$2:$A$731)*$A4+INTERCEPT(B$2:B$731,$A$2:$A$731)</f>
        <v/>
      </c>
      <c r="F4" s="3" t="n">
        <v>0.79</v>
      </c>
      <c r="G4" s="4">
        <f>F4/F$2*100</f>
        <v/>
      </c>
      <c r="H4" s="5">
        <f>""</f>
        <v/>
      </c>
      <c r="I4" s="5">
        <f>SLOPE(F$2:F$731,$A$2:$A$731)*$A4+INTERCEPT(F$2:F$731,$A$2:$A$731)</f>
        <v/>
      </c>
      <c r="J4" s="6" t="inlineStr"/>
    </row>
    <row r="5">
      <c r="A5" s="2" t="n">
        <v>45295</v>
      </c>
      <c r="B5" s="3" t="n">
        <v>80.03</v>
      </c>
      <c r="C5" s="4">
        <f>B5/B$2*100</f>
        <v/>
      </c>
      <c r="D5" s="5">
        <f>""</f>
        <v/>
      </c>
      <c r="E5" s="5">
        <f>SLOPE(B$2:B$731,$A$2:$A$731)*$A5+INTERCEPT(B$2:B$731,$A$2:$A$731)</f>
        <v/>
      </c>
      <c r="F5" s="3" t="n">
        <v>0.79</v>
      </c>
      <c r="G5" s="4">
        <f>F5/F$2*100</f>
        <v/>
      </c>
      <c r="H5" s="5">
        <f>""</f>
        <v/>
      </c>
      <c r="I5" s="5">
        <f>SLOPE(F$2:F$731,$A$2:$A$731)*$A5+INTERCEPT(F$2:F$731,$A$2:$A$731)</f>
        <v/>
      </c>
      <c r="J5" s="6" t="inlineStr"/>
    </row>
    <row r="6">
      <c r="A6" s="2" t="n">
        <v>45296</v>
      </c>
      <c r="B6" s="3" t="n">
        <v>80.04000000000001</v>
      </c>
      <c r="C6" s="4">
        <f>B6/B$2*100</f>
        <v/>
      </c>
      <c r="D6" s="5">
        <f>""</f>
        <v/>
      </c>
      <c r="E6" s="5">
        <f>SLOPE(B$2:B$731,$A$2:$A$731)*$A6+INTERCEPT(B$2:B$731,$A$2:$A$731)</f>
        <v/>
      </c>
      <c r="F6" s="3" t="n">
        <v>0.79</v>
      </c>
      <c r="G6" s="4">
        <f>F6/F$2*100</f>
        <v/>
      </c>
      <c r="H6" s="5">
        <f>""</f>
        <v/>
      </c>
      <c r="I6" s="5">
        <f>SLOPE(F$2:F$731,$A$2:$A$731)*$A6+INTERCEPT(F$2:F$731,$A$2:$A$731)</f>
        <v/>
      </c>
      <c r="J6" s="6" t="inlineStr"/>
    </row>
    <row r="7">
      <c r="A7" s="2" t="n">
        <v>45297</v>
      </c>
      <c r="B7" s="3" t="n">
        <v>80.05</v>
      </c>
      <c r="C7" s="4">
        <f>B7/B$2*100</f>
        <v/>
      </c>
      <c r="D7" s="5">
        <f>""</f>
        <v/>
      </c>
      <c r="E7" s="5">
        <f>SLOPE(B$2:B$731,$A$2:$A$731)*$A7+INTERCEPT(B$2:B$731,$A$2:$A$731)</f>
        <v/>
      </c>
      <c r="F7" s="3" t="n">
        <v>0.79</v>
      </c>
      <c r="G7" s="4">
        <f>F7/F$2*100</f>
        <v/>
      </c>
      <c r="H7" s="5">
        <f>""</f>
        <v/>
      </c>
      <c r="I7" s="5">
        <f>SLOPE(F$2:F$731,$A$2:$A$731)*$A7+INTERCEPT(F$2:F$731,$A$2:$A$731)</f>
        <v/>
      </c>
      <c r="J7" s="6" t="inlineStr">
        <is>
          <t>yes</t>
        </is>
      </c>
    </row>
    <row r="8">
      <c r="A8" s="2" t="n">
        <v>45298</v>
      </c>
      <c r="B8" s="3" t="n">
        <v>80.06</v>
      </c>
      <c r="C8" s="4">
        <f>B8/B$2*100</f>
        <v/>
      </c>
      <c r="D8" s="5">
        <f>""</f>
        <v/>
      </c>
      <c r="E8" s="5">
        <f>SLOPE(B$2:B$731,$A$2:$A$731)*$A8+INTERCEPT(B$2:B$731,$A$2:$A$731)</f>
        <v/>
      </c>
      <c r="F8" s="3" t="n">
        <v>0.79</v>
      </c>
      <c r="G8" s="4">
        <f>F8/F$2*100</f>
        <v/>
      </c>
      <c r="H8" s="5">
        <f>""</f>
        <v/>
      </c>
      <c r="I8" s="5">
        <f>SLOPE(F$2:F$731,$A$2:$A$731)*$A8+INTERCEPT(F$2:F$731,$A$2:$A$731)</f>
        <v/>
      </c>
      <c r="J8" s="6" t="inlineStr">
        <is>
          <t>yes</t>
        </is>
      </c>
    </row>
    <row r="9">
      <c r="A9" s="2" t="n">
        <v>45299</v>
      </c>
      <c r="B9" s="3" t="n">
        <v>80.06999999999999</v>
      </c>
      <c r="C9" s="4">
        <f>B9/B$2*100</f>
        <v/>
      </c>
      <c r="D9" s="5">
        <f>""</f>
        <v/>
      </c>
      <c r="E9" s="5">
        <f>SLOPE(B$2:B$731,$A$2:$A$731)*$A9+INTERCEPT(B$2:B$731,$A$2:$A$731)</f>
        <v/>
      </c>
      <c r="F9" s="3" t="n">
        <v>0.79</v>
      </c>
      <c r="G9" s="4">
        <f>F9/F$2*100</f>
        <v/>
      </c>
      <c r="H9" s="5">
        <f>""</f>
        <v/>
      </c>
      <c r="I9" s="5">
        <f>SLOPE(F$2:F$731,$A$2:$A$731)*$A9+INTERCEPT(F$2:F$731,$A$2:$A$731)</f>
        <v/>
      </c>
      <c r="J9" s="6" t="inlineStr"/>
    </row>
    <row r="10">
      <c r="A10" s="2" t="n">
        <v>45300</v>
      </c>
      <c r="B10" s="3" t="n">
        <v>80.08</v>
      </c>
      <c r="C10" s="4">
        <f>B10/B$2*100</f>
        <v/>
      </c>
      <c r="D10" s="5">
        <f>""</f>
        <v/>
      </c>
      <c r="E10" s="5">
        <f>SLOPE(B$2:B$731,$A$2:$A$731)*$A10+INTERCEPT(B$2:B$731,$A$2:$A$731)</f>
        <v/>
      </c>
      <c r="F10" s="3" t="n">
        <v>0.79</v>
      </c>
      <c r="G10" s="4">
        <f>F10/F$2*100</f>
        <v/>
      </c>
      <c r="H10" s="5">
        <f>""</f>
        <v/>
      </c>
      <c r="I10" s="5">
        <f>SLOPE(F$2:F$731,$A$2:$A$731)*$A10+INTERCEPT(F$2:F$731,$A$2:$A$731)</f>
        <v/>
      </c>
      <c r="J10" s="6" t="inlineStr"/>
    </row>
    <row r="11">
      <c r="A11" s="2" t="n">
        <v>45301</v>
      </c>
      <c r="B11" s="3" t="n">
        <v>80.09</v>
      </c>
      <c r="C11" s="4">
        <f>B11/B$2*100</f>
        <v/>
      </c>
      <c r="D11" s="5">
        <f>""</f>
        <v/>
      </c>
      <c r="E11" s="5">
        <f>SLOPE(B$2:B$731,$A$2:$A$731)*$A11+INTERCEPT(B$2:B$731,$A$2:$A$731)</f>
        <v/>
      </c>
      <c r="F11" s="3" t="n">
        <v>0.79</v>
      </c>
      <c r="G11" s="4">
        <f>F11/F$2*100</f>
        <v/>
      </c>
      <c r="H11" s="5">
        <f>""</f>
        <v/>
      </c>
      <c r="I11" s="5">
        <f>SLOPE(F$2:F$731,$A$2:$A$731)*$A11+INTERCEPT(F$2:F$731,$A$2:$A$731)</f>
        <v/>
      </c>
      <c r="J11" s="6" t="inlineStr"/>
    </row>
    <row r="12">
      <c r="A12" s="2" t="n">
        <v>45302</v>
      </c>
      <c r="B12" s="3" t="n">
        <v>80.09999999999999</v>
      </c>
      <c r="C12" s="4">
        <f>B12/B$2*100</f>
        <v/>
      </c>
      <c r="D12" s="5">
        <f>""</f>
        <v/>
      </c>
      <c r="E12" s="5">
        <f>SLOPE(B$2:B$731,$A$2:$A$731)*$A12+INTERCEPT(B$2:B$731,$A$2:$A$731)</f>
        <v/>
      </c>
      <c r="F12" s="3" t="n">
        <v>0.79</v>
      </c>
      <c r="G12" s="4">
        <f>F12/F$2*100</f>
        <v/>
      </c>
      <c r="H12" s="5">
        <f>""</f>
        <v/>
      </c>
      <c r="I12" s="5">
        <f>SLOPE(F$2:F$731,$A$2:$A$731)*$A12+INTERCEPT(F$2:F$731,$A$2:$A$731)</f>
        <v/>
      </c>
      <c r="J12" s="6" t="inlineStr"/>
    </row>
    <row r="13">
      <c r="A13" s="2" t="n">
        <v>45303</v>
      </c>
      <c r="B13" s="3" t="n">
        <v>80.11</v>
      </c>
      <c r="C13" s="4">
        <f>B13/B$2*100</f>
        <v/>
      </c>
      <c r="D13" s="5">
        <f>""</f>
        <v/>
      </c>
      <c r="E13" s="5">
        <f>SLOPE(B$2:B$731,$A$2:$A$731)*$A13+INTERCEPT(B$2:B$731,$A$2:$A$731)</f>
        <v/>
      </c>
      <c r="F13" s="3" t="n">
        <v>0.79</v>
      </c>
      <c r="G13" s="4">
        <f>F13/F$2*100</f>
        <v/>
      </c>
      <c r="H13" s="5">
        <f>""</f>
        <v/>
      </c>
      <c r="I13" s="5">
        <f>SLOPE(F$2:F$731,$A$2:$A$731)*$A13+INTERCEPT(F$2:F$731,$A$2:$A$731)</f>
        <v/>
      </c>
      <c r="J13" s="6" t="inlineStr"/>
    </row>
    <row r="14">
      <c r="A14" s="2" t="n">
        <v>45304</v>
      </c>
      <c r="B14" s="3" t="n">
        <v>80.12</v>
      </c>
      <c r="C14" s="4">
        <f>B14/B$2*100</f>
        <v/>
      </c>
      <c r="D14" s="5">
        <f>""</f>
        <v/>
      </c>
      <c r="E14" s="5">
        <f>SLOPE(B$2:B$731,$A$2:$A$731)*$A14+INTERCEPT(B$2:B$731,$A$2:$A$731)</f>
        <v/>
      </c>
      <c r="F14" s="3" t="n">
        <v>0.79</v>
      </c>
      <c r="G14" s="4">
        <f>F14/F$2*100</f>
        <v/>
      </c>
      <c r="H14" s="5">
        <f>""</f>
        <v/>
      </c>
      <c r="I14" s="5">
        <f>SLOPE(F$2:F$731,$A$2:$A$731)*$A14+INTERCEPT(F$2:F$731,$A$2:$A$731)</f>
        <v/>
      </c>
      <c r="J14" s="6" t="inlineStr">
        <is>
          <t>yes</t>
        </is>
      </c>
    </row>
    <row r="15">
      <c r="A15" s="2" t="n">
        <v>45305</v>
      </c>
      <c r="B15" s="3" t="n">
        <v>80.13</v>
      </c>
      <c r="C15" s="4">
        <f>B15/B$2*100</f>
        <v/>
      </c>
      <c r="D15" s="5">
        <f>""</f>
        <v/>
      </c>
      <c r="E15" s="5">
        <f>SLOPE(B$2:B$731,$A$2:$A$731)*$A15+INTERCEPT(B$2:B$731,$A$2:$A$731)</f>
        <v/>
      </c>
      <c r="F15" s="3" t="n">
        <v>0.79</v>
      </c>
      <c r="G15" s="4">
        <f>F15/F$2*100</f>
        <v/>
      </c>
      <c r="H15" s="5">
        <f>""</f>
        <v/>
      </c>
      <c r="I15" s="5">
        <f>SLOPE(F$2:F$731,$A$2:$A$731)*$A15+INTERCEPT(F$2:F$731,$A$2:$A$731)</f>
        <v/>
      </c>
      <c r="J15" s="6" t="inlineStr">
        <is>
          <t>yes</t>
        </is>
      </c>
    </row>
    <row r="16">
      <c r="A16" s="2" t="n">
        <v>45306</v>
      </c>
      <c r="B16" s="3" t="n">
        <v>80.14</v>
      </c>
      <c r="C16" s="4">
        <f>B16/B$2*100</f>
        <v/>
      </c>
      <c r="D16" s="5">
        <f>""</f>
        <v/>
      </c>
      <c r="E16" s="5">
        <f>SLOPE(B$2:B$731,$A$2:$A$731)*$A16+INTERCEPT(B$2:B$731,$A$2:$A$731)</f>
        <v/>
      </c>
      <c r="F16" s="3" t="n">
        <v>0.79</v>
      </c>
      <c r="G16" s="4">
        <f>F16/F$2*100</f>
        <v/>
      </c>
      <c r="H16" s="5">
        <f>""</f>
        <v/>
      </c>
      <c r="I16" s="5">
        <f>SLOPE(F$2:F$731,$A$2:$A$731)*$A16+INTERCEPT(F$2:F$731,$A$2:$A$731)</f>
        <v/>
      </c>
      <c r="J16" s="6" t="inlineStr"/>
    </row>
    <row r="17">
      <c r="A17" s="2" t="n">
        <v>45307</v>
      </c>
      <c r="B17" s="3" t="n">
        <v>80.15000000000001</v>
      </c>
      <c r="C17" s="4">
        <f>B17/B$2*100</f>
        <v/>
      </c>
      <c r="D17" s="5">
        <f>""</f>
        <v/>
      </c>
      <c r="E17" s="5">
        <f>SLOPE(B$2:B$731,$A$2:$A$731)*$A17+INTERCEPT(B$2:B$731,$A$2:$A$731)</f>
        <v/>
      </c>
      <c r="F17" s="3" t="n">
        <v>0.79</v>
      </c>
      <c r="G17" s="4">
        <f>F17/F$2*100</f>
        <v/>
      </c>
      <c r="H17" s="5">
        <f>""</f>
        <v/>
      </c>
      <c r="I17" s="5">
        <f>SLOPE(F$2:F$731,$A$2:$A$731)*$A17+INTERCEPT(F$2:F$731,$A$2:$A$731)</f>
        <v/>
      </c>
      <c r="J17" s="6" t="inlineStr"/>
    </row>
    <row r="18">
      <c r="A18" s="2" t="n">
        <v>45308</v>
      </c>
      <c r="B18" s="3" t="n">
        <v>80.16</v>
      </c>
      <c r="C18" s="4">
        <f>B18/B$2*100</f>
        <v/>
      </c>
      <c r="D18" s="5">
        <f>""</f>
        <v/>
      </c>
      <c r="E18" s="5">
        <f>SLOPE(B$2:B$731,$A$2:$A$731)*$A18+INTERCEPT(B$2:B$731,$A$2:$A$731)</f>
        <v/>
      </c>
      <c r="F18" s="3" t="n">
        <v>0.79</v>
      </c>
      <c r="G18" s="4">
        <f>F18/F$2*100</f>
        <v/>
      </c>
      <c r="H18" s="5">
        <f>""</f>
        <v/>
      </c>
      <c r="I18" s="5">
        <f>SLOPE(F$2:F$731,$A$2:$A$731)*$A18+INTERCEPT(F$2:F$731,$A$2:$A$731)</f>
        <v/>
      </c>
      <c r="J18" s="6" t="inlineStr"/>
    </row>
    <row r="19">
      <c r="A19" s="2" t="n">
        <v>45309</v>
      </c>
      <c r="B19" s="3" t="n">
        <v>80.17</v>
      </c>
      <c r="C19" s="4">
        <f>B19/B$2*100</f>
        <v/>
      </c>
      <c r="D19" s="5">
        <f>""</f>
        <v/>
      </c>
      <c r="E19" s="5">
        <f>SLOPE(B$2:B$731,$A$2:$A$731)*$A19+INTERCEPT(B$2:B$731,$A$2:$A$731)</f>
        <v/>
      </c>
      <c r="F19" s="3" t="n">
        <v>0.79</v>
      </c>
      <c r="G19" s="4">
        <f>F19/F$2*100</f>
        <v/>
      </c>
      <c r="H19" s="5">
        <f>""</f>
        <v/>
      </c>
      <c r="I19" s="5">
        <f>SLOPE(F$2:F$731,$A$2:$A$731)*$A19+INTERCEPT(F$2:F$731,$A$2:$A$731)</f>
        <v/>
      </c>
      <c r="J19" s="6" t="inlineStr"/>
    </row>
    <row r="20">
      <c r="A20" s="2" t="n">
        <v>45310</v>
      </c>
      <c r="B20" s="3" t="n">
        <v>80.18000000000001</v>
      </c>
      <c r="C20" s="4">
        <f>B20/B$2*100</f>
        <v/>
      </c>
      <c r="D20" s="5">
        <f>""</f>
        <v/>
      </c>
      <c r="E20" s="5">
        <f>SLOPE(B$2:B$731,$A$2:$A$731)*$A20+INTERCEPT(B$2:B$731,$A$2:$A$731)</f>
        <v/>
      </c>
      <c r="F20" s="3" t="n">
        <v>0.79</v>
      </c>
      <c r="G20" s="4">
        <f>F20/F$2*100</f>
        <v/>
      </c>
      <c r="H20" s="5">
        <f>""</f>
        <v/>
      </c>
      <c r="I20" s="5">
        <f>SLOPE(F$2:F$731,$A$2:$A$731)*$A20+INTERCEPT(F$2:F$731,$A$2:$A$731)</f>
        <v/>
      </c>
      <c r="J20" s="6" t="inlineStr"/>
    </row>
    <row r="21">
      <c r="A21" s="2" t="n">
        <v>45311</v>
      </c>
      <c r="B21" s="3" t="n">
        <v>80.19</v>
      </c>
      <c r="C21" s="4">
        <f>B21/B$2*100</f>
        <v/>
      </c>
      <c r="D21" s="5">
        <f>""</f>
        <v/>
      </c>
      <c r="E21" s="5">
        <f>SLOPE(B$2:B$731,$A$2:$A$731)*$A21+INTERCEPT(B$2:B$731,$A$2:$A$731)</f>
        <v/>
      </c>
      <c r="F21" s="3" t="n">
        <v>0.79</v>
      </c>
      <c r="G21" s="4">
        <f>F21/F$2*100</f>
        <v/>
      </c>
      <c r="H21" s="5">
        <f>""</f>
        <v/>
      </c>
      <c r="I21" s="5">
        <f>SLOPE(F$2:F$731,$A$2:$A$731)*$A21+INTERCEPT(F$2:F$731,$A$2:$A$731)</f>
        <v/>
      </c>
      <c r="J21" s="6" t="inlineStr">
        <is>
          <t>yes</t>
        </is>
      </c>
    </row>
    <row r="22">
      <c r="A22" s="2" t="n">
        <v>45312</v>
      </c>
      <c r="B22" s="3" t="n">
        <v>80.2</v>
      </c>
      <c r="C22" s="4">
        <f>B22/B$2*100</f>
        <v/>
      </c>
      <c r="D22" s="5">
        <f>""</f>
        <v/>
      </c>
      <c r="E22" s="5">
        <f>SLOPE(B$2:B$731,$A$2:$A$731)*$A22+INTERCEPT(B$2:B$731,$A$2:$A$731)</f>
        <v/>
      </c>
      <c r="F22" s="3" t="n">
        <v>0.79</v>
      </c>
      <c r="G22" s="4">
        <f>F22/F$2*100</f>
        <v/>
      </c>
      <c r="H22" s="5">
        <f>""</f>
        <v/>
      </c>
      <c r="I22" s="5">
        <f>SLOPE(F$2:F$731,$A$2:$A$731)*$A22+INTERCEPT(F$2:F$731,$A$2:$A$731)</f>
        <v/>
      </c>
      <c r="J22" s="6" t="inlineStr">
        <is>
          <t>yes</t>
        </is>
      </c>
    </row>
    <row r="23">
      <c r="A23" s="2" t="n">
        <v>45313</v>
      </c>
      <c r="B23" s="3" t="n">
        <v>80.20999999999999</v>
      </c>
      <c r="C23" s="4">
        <f>B23/B$2*100</f>
        <v/>
      </c>
      <c r="D23" s="5">
        <f>""</f>
        <v/>
      </c>
      <c r="E23" s="5">
        <f>SLOPE(B$2:B$731,$A$2:$A$731)*$A23+INTERCEPT(B$2:B$731,$A$2:$A$731)</f>
        <v/>
      </c>
      <c r="F23" s="3" t="n">
        <v>0.79</v>
      </c>
      <c r="G23" s="4">
        <f>F23/F$2*100</f>
        <v/>
      </c>
      <c r="H23" s="5">
        <f>""</f>
        <v/>
      </c>
      <c r="I23" s="5">
        <f>SLOPE(F$2:F$731,$A$2:$A$731)*$A23+INTERCEPT(F$2:F$731,$A$2:$A$731)</f>
        <v/>
      </c>
      <c r="J23" s="6" t="inlineStr"/>
    </row>
    <row r="24">
      <c r="A24" s="2" t="n">
        <v>45314</v>
      </c>
      <c r="B24" s="3" t="n">
        <v>80.22</v>
      </c>
      <c r="C24" s="4">
        <f>B24/B$2*100</f>
        <v/>
      </c>
      <c r="D24" s="5">
        <f>""</f>
        <v/>
      </c>
      <c r="E24" s="5">
        <f>SLOPE(B$2:B$731,$A$2:$A$731)*$A24+INTERCEPT(B$2:B$731,$A$2:$A$731)</f>
        <v/>
      </c>
      <c r="F24" s="3" t="n">
        <v>0.79</v>
      </c>
      <c r="G24" s="4">
        <f>F24/F$2*100</f>
        <v/>
      </c>
      <c r="H24" s="5">
        <f>""</f>
        <v/>
      </c>
      <c r="I24" s="5">
        <f>SLOPE(F$2:F$731,$A$2:$A$731)*$A24+INTERCEPT(F$2:F$731,$A$2:$A$731)</f>
        <v/>
      </c>
      <c r="J24" s="6" t="inlineStr"/>
    </row>
    <row r="25">
      <c r="A25" s="2" t="n">
        <v>45315</v>
      </c>
      <c r="B25" s="3" t="n">
        <v>80.23</v>
      </c>
      <c r="C25" s="4">
        <f>B25/B$2*100</f>
        <v/>
      </c>
      <c r="D25" s="5">
        <f>""</f>
        <v/>
      </c>
      <c r="E25" s="5">
        <f>SLOPE(B$2:B$731,$A$2:$A$731)*$A25+INTERCEPT(B$2:B$731,$A$2:$A$731)</f>
        <v/>
      </c>
      <c r="F25" s="3" t="n">
        <v>0.79</v>
      </c>
      <c r="G25" s="4">
        <f>F25/F$2*100</f>
        <v/>
      </c>
      <c r="H25" s="5">
        <f>""</f>
        <v/>
      </c>
      <c r="I25" s="5">
        <f>SLOPE(F$2:F$731,$A$2:$A$731)*$A25+INTERCEPT(F$2:F$731,$A$2:$A$731)</f>
        <v/>
      </c>
      <c r="J25" s="6" t="inlineStr"/>
    </row>
    <row r="26">
      <c r="A26" s="2" t="n">
        <v>45316</v>
      </c>
      <c r="B26" s="3" t="n">
        <v>80.23999999999999</v>
      </c>
      <c r="C26" s="4">
        <f>B26/B$2*100</f>
        <v/>
      </c>
      <c r="D26" s="5">
        <f>""</f>
        <v/>
      </c>
      <c r="E26" s="5">
        <f>SLOPE(B$2:B$731,$A$2:$A$731)*$A26+INTERCEPT(B$2:B$731,$A$2:$A$731)</f>
        <v/>
      </c>
      <c r="F26" s="3" t="n">
        <v>0.79</v>
      </c>
      <c r="G26" s="4">
        <f>F26/F$2*100</f>
        <v/>
      </c>
      <c r="H26" s="5">
        <f>""</f>
        <v/>
      </c>
      <c r="I26" s="5">
        <f>SLOPE(F$2:F$731,$A$2:$A$731)*$A26+INTERCEPT(F$2:F$731,$A$2:$A$731)</f>
        <v/>
      </c>
      <c r="J26" s="6" t="inlineStr"/>
    </row>
    <row r="27">
      <c r="A27" s="2" t="n">
        <v>45317</v>
      </c>
      <c r="B27" s="3" t="n">
        <v>80.25</v>
      </c>
      <c r="C27" s="4">
        <f>B27/B$2*100</f>
        <v/>
      </c>
      <c r="D27" s="5">
        <f>""</f>
        <v/>
      </c>
      <c r="E27" s="5">
        <f>SLOPE(B$2:B$731,$A$2:$A$731)*$A27+INTERCEPT(B$2:B$731,$A$2:$A$731)</f>
        <v/>
      </c>
      <c r="F27" s="3" t="n">
        <v>0.79</v>
      </c>
      <c r="G27" s="4">
        <f>F27/F$2*100</f>
        <v/>
      </c>
      <c r="H27" s="5">
        <f>""</f>
        <v/>
      </c>
      <c r="I27" s="5">
        <f>SLOPE(F$2:F$731,$A$2:$A$731)*$A27+INTERCEPT(F$2:F$731,$A$2:$A$731)</f>
        <v/>
      </c>
      <c r="J27" s="6" t="inlineStr"/>
    </row>
    <row r="28">
      <c r="A28" s="2" t="n">
        <v>45318</v>
      </c>
      <c r="B28" s="3" t="n">
        <v>80.26000000000001</v>
      </c>
      <c r="C28" s="4">
        <f>B28/B$2*100</f>
        <v/>
      </c>
      <c r="D28" s="5">
        <f>""</f>
        <v/>
      </c>
      <c r="E28" s="5">
        <f>SLOPE(B$2:B$731,$A$2:$A$731)*$A28+INTERCEPT(B$2:B$731,$A$2:$A$731)</f>
        <v/>
      </c>
      <c r="F28" s="3" t="n">
        <v>0.79</v>
      </c>
      <c r="G28" s="4">
        <f>F28/F$2*100</f>
        <v/>
      </c>
      <c r="H28" s="5">
        <f>""</f>
        <v/>
      </c>
      <c r="I28" s="5">
        <f>SLOPE(F$2:F$731,$A$2:$A$731)*$A28+INTERCEPT(F$2:F$731,$A$2:$A$731)</f>
        <v/>
      </c>
      <c r="J28" s="6" t="inlineStr">
        <is>
          <t>yes</t>
        </is>
      </c>
    </row>
    <row r="29">
      <c r="A29" s="2" t="n">
        <v>45319</v>
      </c>
      <c r="B29" s="3" t="n">
        <v>80.27</v>
      </c>
      <c r="C29" s="4">
        <f>B29/B$2*100</f>
        <v/>
      </c>
      <c r="D29" s="5">
        <f>""</f>
        <v/>
      </c>
      <c r="E29" s="5">
        <f>SLOPE(B$2:B$731,$A$2:$A$731)*$A29+INTERCEPT(B$2:B$731,$A$2:$A$731)</f>
        <v/>
      </c>
      <c r="F29" s="3" t="n">
        <v>0.79</v>
      </c>
      <c r="G29" s="4">
        <f>F29/F$2*100</f>
        <v/>
      </c>
      <c r="H29" s="5">
        <f>""</f>
        <v/>
      </c>
      <c r="I29" s="5">
        <f>SLOPE(F$2:F$731,$A$2:$A$731)*$A29+INTERCEPT(F$2:F$731,$A$2:$A$731)</f>
        <v/>
      </c>
      <c r="J29" s="6" t="inlineStr">
        <is>
          <t>yes</t>
        </is>
      </c>
    </row>
    <row r="30">
      <c r="A30" s="2" t="n">
        <v>45320</v>
      </c>
      <c r="B30" s="3" t="n">
        <v>80.28</v>
      </c>
      <c r="C30" s="4">
        <f>B30/B$2*100</f>
        <v/>
      </c>
      <c r="D30" s="5">
        <f>""</f>
        <v/>
      </c>
      <c r="E30" s="5">
        <f>SLOPE(B$2:B$731,$A$2:$A$731)*$A30+INTERCEPT(B$2:B$731,$A$2:$A$731)</f>
        <v/>
      </c>
      <c r="F30" s="3" t="n">
        <v>0.79</v>
      </c>
      <c r="G30" s="4">
        <f>F30/F$2*100</f>
        <v/>
      </c>
      <c r="H30" s="5">
        <f>""</f>
        <v/>
      </c>
      <c r="I30" s="5">
        <f>SLOPE(F$2:F$731,$A$2:$A$731)*$A30+INTERCEPT(F$2:F$731,$A$2:$A$731)</f>
        <v/>
      </c>
      <c r="J30" s="6" t="inlineStr"/>
    </row>
    <row r="31">
      <c r="A31" s="2" t="n">
        <v>45321</v>
      </c>
      <c r="B31" s="3" t="n">
        <v>80.29000000000001</v>
      </c>
      <c r="C31" s="4">
        <f>B31/B$2*100</f>
        <v/>
      </c>
      <c r="D31" s="5">
        <f>AVERAGE(B2:B31)</f>
        <v/>
      </c>
      <c r="E31" s="5">
        <f>SLOPE(B$2:B$731,$A$2:$A$731)*$A31+INTERCEPT(B$2:B$731,$A$2:$A$731)</f>
        <v/>
      </c>
      <c r="F31" s="3" t="n">
        <v>0.79</v>
      </c>
      <c r="G31" s="4">
        <f>F31/F$2*100</f>
        <v/>
      </c>
      <c r="H31" s="5">
        <f>AVERAGE(F2:F31)</f>
        <v/>
      </c>
      <c r="I31" s="5">
        <f>SLOPE(F$2:F$731,$A$2:$A$731)*$A31+INTERCEPT(F$2:F$731,$A$2:$A$731)</f>
        <v/>
      </c>
      <c r="J31" s="6" t="inlineStr"/>
    </row>
    <row r="32">
      <c r="A32" s="2" t="n">
        <v>45322</v>
      </c>
      <c r="B32" s="3" t="n">
        <v>80.3</v>
      </c>
      <c r="C32" s="4">
        <f>B32/B$2*100</f>
        <v/>
      </c>
      <c r="D32" s="5">
        <f>AVERAGE(B3:B32)</f>
        <v/>
      </c>
      <c r="E32" s="5">
        <f>SLOPE(B$2:B$731,$A$2:$A$731)*$A32+INTERCEPT(B$2:B$731,$A$2:$A$731)</f>
        <v/>
      </c>
      <c r="F32" s="3" t="n">
        <v>0.79</v>
      </c>
      <c r="G32" s="4">
        <f>F32/F$2*100</f>
        <v/>
      </c>
      <c r="H32" s="5">
        <f>AVERAGE(F3:F32)</f>
        <v/>
      </c>
      <c r="I32" s="5">
        <f>SLOPE(F$2:F$731,$A$2:$A$731)*$A32+INTERCEPT(F$2:F$731,$A$2:$A$731)</f>
        <v/>
      </c>
      <c r="J32" s="6" t="inlineStr"/>
    </row>
    <row r="33">
      <c r="A33" s="2" t="n">
        <v>45323</v>
      </c>
      <c r="B33" s="3" t="n">
        <v>80.31</v>
      </c>
      <c r="C33" s="4">
        <f>B33/B$2*100</f>
        <v/>
      </c>
      <c r="D33" s="5">
        <f>AVERAGE(B4:B33)</f>
        <v/>
      </c>
      <c r="E33" s="5">
        <f>SLOPE(B$2:B$731,$A$2:$A$731)*$A33+INTERCEPT(B$2:B$731,$A$2:$A$731)</f>
        <v/>
      </c>
      <c r="F33" s="3" t="n">
        <v>0.79</v>
      </c>
      <c r="G33" s="4">
        <f>F33/F$2*100</f>
        <v/>
      </c>
      <c r="H33" s="5">
        <f>AVERAGE(F4:F33)</f>
        <v/>
      </c>
      <c r="I33" s="5">
        <f>SLOPE(F$2:F$731,$A$2:$A$731)*$A33+INTERCEPT(F$2:F$731,$A$2:$A$731)</f>
        <v/>
      </c>
      <c r="J33" s="6" t="inlineStr"/>
    </row>
    <row r="34">
      <c r="A34" s="2" t="n">
        <v>45324</v>
      </c>
      <c r="B34" s="3" t="n">
        <v>80.31999999999999</v>
      </c>
      <c r="C34" s="4">
        <f>B34/B$2*100</f>
        <v/>
      </c>
      <c r="D34" s="5">
        <f>AVERAGE(B5:B34)</f>
        <v/>
      </c>
      <c r="E34" s="5">
        <f>SLOPE(B$2:B$731,$A$2:$A$731)*$A34+INTERCEPT(B$2:B$731,$A$2:$A$731)</f>
        <v/>
      </c>
      <c r="F34" s="3" t="n">
        <v>0.79</v>
      </c>
      <c r="G34" s="4">
        <f>F34/F$2*100</f>
        <v/>
      </c>
      <c r="H34" s="5">
        <f>AVERAGE(F5:F34)</f>
        <v/>
      </c>
      <c r="I34" s="5">
        <f>SLOPE(F$2:F$731,$A$2:$A$731)*$A34+INTERCEPT(F$2:F$731,$A$2:$A$731)</f>
        <v/>
      </c>
      <c r="J34" s="6" t="inlineStr"/>
    </row>
    <row r="35">
      <c r="A35" s="2" t="n">
        <v>45325</v>
      </c>
      <c r="B35" s="3" t="n">
        <v>80.33</v>
      </c>
      <c r="C35" s="4">
        <f>B35/B$2*100</f>
        <v/>
      </c>
      <c r="D35" s="5">
        <f>AVERAGE(B6:B35)</f>
        <v/>
      </c>
      <c r="E35" s="5">
        <f>SLOPE(B$2:B$731,$A$2:$A$731)*$A35+INTERCEPT(B$2:B$731,$A$2:$A$731)</f>
        <v/>
      </c>
      <c r="F35" s="3" t="n">
        <v>0.79</v>
      </c>
      <c r="G35" s="4">
        <f>F35/F$2*100</f>
        <v/>
      </c>
      <c r="H35" s="5">
        <f>AVERAGE(F6:F35)</f>
        <v/>
      </c>
      <c r="I35" s="5">
        <f>SLOPE(F$2:F$731,$A$2:$A$731)*$A35+INTERCEPT(F$2:F$731,$A$2:$A$731)</f>
        <v/>
      </c>
      <c r="J35" s="6" t="inlineStr">
        <is>
          <t>yes</t>
        </is>
      </c>
    </row>
    <row r="36">
      <c r="A36" s="2" t="n">
        <v>45326</v>
      </c>
      <c r="B36" s="3" t="n">
        <v>80.34</v>
      </c>
      <c r="C36" s="4">
        <f>B36/B$2*100</f>
        <v/>
      </c>
      <c r="D36" s="5">
        <f>AVERAGE(B7:B36)</f>
        <v/>
      </c>
      <c r="E36" s="5">
        <f>SLOPE(B$2:B$731,$A$2:$A$731)*$A36+INTERCEPT(B$2:B$731,$A$2:$A$731)</f>
        <v/>
      </c>
      <c r="F36" s="3" t="n">
        <v>0.79</v>
      </c>
      <c r="G36" s="4">
        <f>F36/F$2*100</f>
        <v/>
      </c>
      <c r="H36" s="5">
        <f>AVERAGE(F7:F36)</f>
        <v/>
      </c>
      <c r="I36" s="5">
        <f>SLOPE(F$2:F$731,$A$2:$A$731)*$A36+INTERCEPT(F$2:F$731,$A$2:$A$731)</f>
        <v/>
      </c>
      <c r="J36" s="6" t="inlineStr">
        <is>
          <t>yes</t>
        </is>
      </c>
    </row>
    <row r="37">
      <c r="A37" s="2" t="n">
        <v>45327</v>
      </c>
      <c r="B37" s="3" t="n">
        <v>80.34999999999999</v>
      </c>
      <c r="C37" s="4">
        <f>B37/B$2*100</f>
        <v/>
      </c>
      <c r="D37" s="5">
        <f>AVERAGE(B8:B37)</f>
        <v/>
      </c>
      <c r="E37" s="5">
        <f>SLOPE(B$2:B$731,$A$2:$A$731)*$A37+INTERCEPT(B$2:B$731,$A$2:$A$731)</f>
        <v/>
      </c>
      <c r="F37" s="3" t="n">
        <v>0.79</v>
      </c>
      <c r="G37" s="4">
        <f>F37/F$2*100</f>
        <v/>
      </c>
      <c r="H37" s="5">
        <f>AVERAGE(F8:F37)</f>
        <v/>
      </c>
      <c r="I37" s="5">
        <f>SLOPE(F$2:F$731,$A$2:$A$731)*$A37+INTERCEPT(F$2:F$731,$A$2:$A$731)</f>
        <v/>
      </c>
      <c r="J37" s="6" t="inlineStr"/>
    </row>
    <row r="38">
      <c r="A38" s="2" t="n">
        <v>45328</v>
      </c>
      <c r="B38" s="3" t="n">
        <v>80.36</v>
      </c>
      <c r="C38" s="4">
        <f>B38/B$2*100</f>
        <v/>
      </c>
      <c r="D38" s="5">
        <f>AVERAGE(B9:B38)</f>
        <v/>
      </c>
      <c r="E38" s="5">
        <f>SLOPE(B$2:B$731,$A$2:$A$731)*$A38+INTERCEPT(B$2:B$731,$A$2:$A$731)</f>
        <v/>
      </c>
      <c r="F38" s="3" t="n">
        <v>0.79</v>
      </c>
      <c r="G38" s="4">
        <f>F38/F$2*100</f>
        <v/>
      </c>
      <c r="H38" s="5">
        <f>AVERAGE(F9:F38)</f>
        <v/>
      </c>
      <c r="I38" s="5">
        <f>SLOPE(F$2:F$731,$A$2:$A$731)*$A38+INTERCEPT(F$2:F$731,$A$2:$A$731)</f>
        <v/>
      </c>
      <c r="J38" s="6" t="inlineStr"/>
    </row>
    <row r="39">
      <c r="A39" s="2" t="n">
        <v>45329</v>
      </c>
      <c r="B39" s="3" t="n">
        <v>80.37</v>
      </c>
      <c r="C39" s="4">
        <f>B39/B$2*100</f>
        <v/>
      </c>
      <c r="D39" s="5">
        <f>AVERAGE(B10:B39)</f>
        <v/>
      </c>
      <c r="E39" s="5">
        <f>SLOPE(B$2:B$731,$A$2:$A$731)*$A39+INTERCEPT(B$2:B$731,$A$2:$A$731)</f>
        <v/>
      </c>
      <c r="F39" s="3" t="n">
        <v>0.79</v>
      </c>
      <c r="G39" s="4">
        <f>F39/F$2*100</f>
        <v/>
      </c>
      <c r="H39" s="5">
        <f>AVERAGE(F10:F39)</f>
        <v/>
      </c>
      <c r="I39" s="5">
        <f>SLOPE(F$2:F$731,$A$2:$A$731)*$A39+INTERCEPT(F$2:F$731,$A$2:$A$731)</f>
        <v/>
      </c>
      <c r="J39" s="6" t="inlineStr"/>
    </row>
    <row r="40">
      <c r="A40" s="2" t="n">
        <v>45330</v>
      </c>
      <c r="B40" s="3" t="n">
        <v>80.38</v>
      </c>
      <c r="C40" s="4">
        <f>B40/B$2*100</f>
        <v/>
      </c>
      <c r="D40" s="5">
        <f>AVERAGE(B11:B40)</f>
        <v/>
      </c>
      <c r="E40" s="5">
        <f>SLOPE(B$2:B$731,$A$2:$A$731)*$A40+INTERCEPT(B$2:B$731,$A$2:$A$731)</f>
        <v/>
      </c>
      <c r="F40" s="3" t="n">
        <v>0.79</v>
      </c>
      <c r="G40" s="4">
        <f>F40/F$2*100</f>
        <v/>
      </c>
      <c r="H40" s="5">
        <f>AVERAGE(F11:F40)</f>
        <v/>
      </c>
      <c r="I40" s="5">
        <f>SLOPE(F$2:F$731,$A$2:$A$731)*$A40+INTERCEPT(F$2:F$731,$A$2:$A$731)</f>
        <v/>
      </c>
      <c r="J40" s="6" t="inlineStr"/>
    </row>
    <row r="41">
      <c r="A41" s="2" t="n">
        <v>45331</v>
      </c>
      <c r="B41" s="3" t="n">
        <v>80.39</v>
      </c>
      <c r="C41" s="4">
        <f>B41/B$2*100</f>
        <v/>
      </c>
      <c r="D41" s="5">
        <f>AVERAGE(B12:B41)</f>
        <v/>
      </c>
      <c r="E41" s="5">
        <f>SLOPE(B$2:B$731,$A$2:$A$731)*$A41+INTERCEPT(B$2:B$731,$A$2:$A$731)</f>
        <v/>
      </c>
      <c r="F41" s="3" t="n">
        <v>0.79</v>
      </c>
      <c r="G41" s="4">
        <f>F41/F$2*100</f>
        <v/>
      </c>
      <c r="H41" s="5">
        <f>AVERAGE(F12:F41)</f>
        <v/>
      </c>
      <c r="I41" s="5">
        <f>SLOPE(F$2:F$731,$A$2:$A$731)*$A41+INTERCEPT(F$2:F$731,$A$2:$A$731)</f>
        <v/>
      </c>
      <c r="J41" s="6" t="inlineStr"/>
    </row>
    <row r="42">
      <c r="A42" s="2" t="n">
        <v>45332</v>
      </c>
      <c r="B42" s="3" t="n">
        <v>80.40000000000001</v>
      </c>
      <c r="C42" s="4">
        <f>B42/B$2*100</f>
        <v/>
      </c>
      <c r="D42" s="5">
        <f>AVERAGE(B13:B42)</f>
        <v/>
      </c>
      <c r="E42" s="5">
        <f>SLOPE(B$2:B$731,$A$2:$A$731)*$A42+INTERCEPT(B$2:B$731,$A$2:$A$731)</f>
        <v/>
      </c>
      <c r="F42" s="3" t="n">
        <v>0.79</v>
      </c>
      <c r="G42" s="4">
        <f>F42/F$2*100</f>
        <v/>
      </c>
      <c r="H42" s="5">
        <f>AVERAGE(F13:F42)</f>
        <v/>
      </c>
      <c r="I42" s="5">
        <f>SLOPE(F$2:F$731,$A$2:$A$731)*$A42+INTERCEPT(F$2:F$731,$A$2:$A$731)</f>
        <v/>
      </c>
      <c r="J42" s="6" t="inlineStr">
        <is>
          <t>yes</t>
        </is>
      </c>
    </row>
    <row r="43">
      <c r="A43" s="2" t="n">
        <v>45333</v>
      </c>
      <c r="B43" s="3" t="n">
        <v>80.41</v>
      </c>
      <c r="C43" s="4">
        <f>B43/B$2*100</f>
        <v/>
      </c>
      <c r="D43" s="5">
        <f>AVERAGE(B14:B43)</f>
        <v/>
      </c>
      <c r="E43" s="5">
        <f>SLOPE(B$2:B$731,$A$2:$A$731)*$A43+INTERCEPT(B$2:B$731,$A$2:$A$731)</f>
        <v/>
      </c>
      <c r="F43" s="3" t="n">
        <v>0.79</v>
      </c>
      <c r="G43" s="4">
        <f>F43/F$2*100</f>
        <v/>
      </c>
      <c r="H43" s="5">
        <f>AVERAGE(F14:F43)</f>
        <v/>
      </c>
      <c r="I43" s="5">
        <f>SLOPE(F$2:F$731,$A$2:$A$731)*$A43+INTERCEPT(F$2:F$731,$A$2:$A$731)</f>
        <v/>
      </c>
      <c r="J43" s="6" t="inlineStr">
        <is>
          <t>yes</t>
        </is>
      </c>
    </row>
    <row r="44">
      <c r="A44" s="2" t="n">
        <v>45334</v>
      </c>
      <c r="B44" s="3" t="n">
        <v>80.42</v>
      </c>
      <c r="C44" s="4">
        <f>B44/B$2*100</f>
        <v/>
      </c>
      <c r="D44" s="5">
        <f>AVERAGE(B15:B44)</f>
        <v/>
      </c>
      <c r="E44" s="5">
        <f>SLOPE(B$2:B$731,$A$2:$A$731)*$A44+INTERCEPT(B$2:B$731,$A$2:$A$731)</f>
        <v/>
      </c>
      <c r="F44" s="3" t="n">
        <v>0.79</v>
      </c>
      <c r="G44" s="4">
        <f>F44/F$2*100</f>
        <v/>
      </c>
      <c r="H44" s="5">
        <f>AVERAGE(F15:F44)</f>
        <v/>
      </c>
      <c r="I44" s="5">
        <f>SLOPE(F$2:F$731,$A$2:$A$731)*$A44+INTERCEPT(F$2:F$731,$A$2:$A$731)</f>
        <v/>
      </c>
      <c r="J44" s="6" t="inlineStr"/>
    </row>
    <row r="45">
      <c r="A45" s="2" t="n">
        <v>45335</v>
      </c>
      <c r="B45" s="3" t="n">
        <v>80.43000000000001</v>
      </c>
      <c r="C45" s="4">
        <f>B45/B$2*100</f>
        <v/>
      </c>
      <c r="D45" s="5">
        <f>AVERAGE(B16:B45)</f>
        <v/>
      </c>
      <c r="E45" s="5">
        <f>SLOPE(B$2:B$731,$A$2:$A$731)*$A45+INTERCEPT(B$2:B$731,$A$2:$A$731)</f>
        <v/>
      </c>
      <c r="F45" s="3" t="n">
        <v>0.79</v>
      </c>
      <c r="G45" s="4">
        <f>F45/F$2*100</f>
        <v/>
      </c>
      <c r="H45" s="5">
        <f>AVERAGE(F16:F45)</f>
        <v/>
      </c>
      <c r="I45" s="5">
        <f>SLOPE(F$2:F$731,$A$2:$A$731)*$A45+INTERCEPT(F$2:F$731,$A$2:$A$731)</f>
        <v/>
      </c>
      <c r="J45" s="6" t="inlineStr"/>
    </row>
    <row r="46">
      <c r="A46" s="2" t="n">
        <v>45336</v>
      </c>
      <c r="B46" s="3" t="n">
        <v>80.44</v>
      </c>
      <c r="C46" s="4">
        <f>B46/B$2*100</f>
        <v/>
      </c>
      <c r="D46" s="5">
        <f>AVERAGE(B17:B46)</f>
        <v/>
      </c>
      <c r="E46" s="5">
        <f>SLOPE(B$2:B$731,$A$2:$A$731)*$A46+INTERCEPT(B$2:B$731,$A$2:$A$731)</f>
        <v/>
      </c>
      <c r="F46" s="3" t="n">
        <v>0.79</v>
      </c>
      <c r="G46" s="4">
        <f>F46/F$2*100</f>
        <v/>
      </c>
      <c r="H46" s="5">
        <f>AVERAGE(F17:F46)</f>
        <v/>
      </c>
      <c r="I46" s="5">
        <f>SLOPE(F$2:F$731,$A$2:$A$731)*$A46+INTERCEPT(F$2:F$731,$A$2:$A$731)</f>
        <v/>
      </c>
      <c r="J46" s="6" t="inlineStr"/>
    </row>
    <row r="47">
      <c r="A47" s="2" t="n">
        <v>45337</v>
      </c>
      <c r="B47" s="3" t="n">
        <v>80.45</v>
      </c>
      <c r="C47" s="4">
        <f>B47/B$2*100</f>
        <v/>
      </c>
      <c r="D47" s="5">
        <f>AVERAGE(B18:B47)</f>
        <v/>
      </c>
      <c r="E47" s="5">
        <f>SLOPE(B$2:B$731,$A$2:$A$731)*$A47+INTERCEPT(B$2:B$731,$A$2:$A$731)</f>
        <v/>
      </c>
      <c r="F47" s="3" t="n">
        <v>0.79</v>
      </c>
      <c r="G47" s="4">
        <f>F47/F$2*100</f>
        <v/>
      </c>
      <c r="H47" s="5">
        <f>AVERAGE(F18:F47)</f>
        <v/>
      </c>
      <c r="I47" s="5">
        <f>SLOPE(F$2:F$731,$A$2:$A$731)*$A47+INTERCEPT(F$2:F$731,$A$2:$A$731)</f>
        <v/>
      </c>
      <c r="J47" s="6" t="inlineStr"/>
    </row>
    <row r="48">
      <c r="A48" s="2" t="n">
        <v>45338</v>
      </c>
      <c r="B48" s="3" t="n">
        <v>80.45999999999999</v>
      </c>
      <c r="C48" s="4">
        <f>B48/B$2*100</f>
        <v/>
      </c>
      <c r="D48" s="5">
        <f>AVERAGE(B19:B48)</f>
        <v/>
      </c>
      <c r="E48" s="5">
        <f>SLOPE(B$2:B$731,$A$2:$A$731)*$A48+INTERCEPT(B$2:B$731,$A$2:$A$731)</f>
        <v/>
      </c>
      <c r="F48" s="3" t="n">
        <v>0.79</v>
      </c>
      <c r="G48" s="4">
        <f>F48/F$2*100</f>
        <v/>
      </c>
      <c r="H48" s="5">
        <f>AVERAGE(F19:F48)</f>
        <v/>
      </c>
      <c r="I48" s="5">
        <f>SLOPE(F$2:F$731,$A$2:$A$731)*$A48+INTERCEPT(F$2:F$731,$A$2:$A$731)</f>
        <v/>
      </c>
      <c r="J48" s="6" t="inlineStr"/>
    </row>
    <row r="49">
      <c r="A49" s="2" t="n">
        <v>45339</v>
      </c>
      <c r="B49" s="3" t="n">
        <v>80.47</v>
      </c>
      <c r="C49" s="4">
        <f>B49/B$2*100</f>
        <v/>
      </c>
      <c r="D49" s="5">
        <f>AVERAGE(B20:B49)</f>
        <v/>
      </c>
      <c r="E49" s="5">
        <f>SLOPE(B$2:B$731,$A$2:$A$731)*$A49+INTERCEPT(B$2:B$731,$A$2:$A$731)</f>
        <v/>
      </c>
      <c r="F49" s="3" t="n">
        <v>0.79</v>
      </c>
      <c r="G49" s="4">
        <f>F49/F$2*100</f>
        <v/>
      </c>
      <c r="H49" s="5">
        <f>AVERAGE(F20:F49)</f>
        <v/>
      </c>
      <c r="I49" s="5">
        <f>SLOPE(F$2:F$731,$A$2:$A$731)*$A49+INTERCEPT(F$2:F$731,$A$2:$A$731)</f>
        <v/>
      </c>
      <c r="J49" s="6" t="inlineStr">
        <is>
          <t>yes</t>
        </is>
      </c>
    </row>
    <row r="50">
      <c r="A50" s="2" t="n">
        <v>45340</v>
      </c>
      <c r="B50" s="3" t="n">
        <v>80.48</v>
      </c>
      <c r="C50" s="4">
        <f>B50/B$2*100</f>
        <v/>
      </c>
      <c r="D50" s="5">
        <f>AVERAGE(B21:B50)</f>
        <v/>
      </c>
      <c r="E50" s="5">
        <f>SLOPE(B$2:B$731,$A$2:$A$731)*$A50+INTERCEPT(B$2:B$731,$A$2:$A$731)</f>
        <v/>
      </c>
      <c r="F50" s="3" t="n">
        <v>0.79</v>
      </c>
      <c r="G50" s="4">
        <f>F50/F$2*100</f>
        <v/>
      </c>
      <c r="H50" s="5">
        <f>AVERAGE(F21:F50)</f>
        <v/>
      </c>
      <c r="I50" s="5">
        <f>SLOPE(F$2:F$731,$A$2:$A$731)*$A50+INTERCEPT(F$2:F$731,$A$2:$A$731)</f>
        <v/>
      </c>
      <c r="J50" s="6" t="inlineStr">
        <is>
          <t>yes</t>
        </is>
      </c>
    </row>
    <row r="51">
      <c r="A51" s="2" t="n">
        <v>45341</v>
      </c>
      <c r="B51" s="3" t="n">
        <v>80.48999999999999</v>
      </c>
      <c r="C51" s="4">
        <f>B51/B$2*100</f>
        <v/>
      </c>
      <c r="D51" s="5">
        <f>AVERAGE(B22:B51)</f>
        <v/>
      </c>
      <c r="E51" s="5">
        <f>SLOPE(B$2:B$731,$A$2:$A$731)*$A51+INTERCEPT(B$2:B$731,$A$2:$A$731)</f>
        <v/>
      </c>
      <c r="F51" s="3" t="n">
        <v>0.79</v>
      </c>
      <c r="G51" s="4">
        <f>F51/F$2*100</f>
        <v/>
      </c>
      <c r="H51" s="5">
        <f>AVERAGE(F22:F51)</f>
        <v/>
      </c>
      <c r="I51" s="5">
        <f>SLOPE(F$2:F$731,$A$2:$A$731)*$A51+INTERCEPT(F$2:F$731,$A$2:$A$731)</f>
        <v/>
      </c>
      <c r="J51" s="6" t="inlineStr"/>
    </row>
    <row r="52">
      <c r="A52" s="2" t="n">
        <v>45342</v>
      </c>
      <c r="B52" s="3" t="n">
        <v>80.5</v>
      </c>
      <c r="C52" s="4">
        <f>B52/B$2*100</f>
        <v/>
      </c>
      <c r="D52" s="5">
        <f>AVERAGE(B23:B52)</f>
        <v/>
      </c>
      <c r="E52" s="5">
        <f>SLOPE(B$2:B$731,$A$2:$A$731)*$A52+INTERCEPT(B$2:B$731,$A$2:$A$731)</f>
        <v/>
      </c>
      <c r="F52" s="3" t="n">
        <v>0.79</v>
      </c>
      <c r="G52" s="4">
        <f>F52/F$2*100</f>
        <v/>
      </c>
      <c r="H52" s="5">
        <f>AVERAGE(F23:F52)</f>
        <v/>
      </c>
      <c r="I52" s="5">
        <f>SLOPE(F$2:F$731,$A$2:$A$731)*$A52+INTERCEPT(F$2:F$731,$A$2:$A$731)</f>
        <v/>
      </c>
      <c r="J52" s="6" t="inlineStr"/>
    </row>
    <row r="53">
      <c r="A53" s="2" t="n">
        <v>45343</v>
      </c>
      <c r="B53" s="3" t="n">
        <v>80.51000000000001</v>
      </c>
      <c r="C53" s="4">
        <f>B53/B$2*100</f>
        <v/>
      </c>
      <c r="D53" s="5">
        <f>AVERAGE(B24:B53)</f>
        <v/>
      </c>
      <c r="E53" s="5">
        <f>SLOPE(B$2:B$731,$A$2:$A$731)*$A53+INTERCEPT(B$2:B$731,$A$2:$A$731)</f>
        <v/>
      </c>
      <c r="F53" s="3" t="n">
        <v>0.79</v>
      </c>
      <c r="G53" s="4">
        <f>F53/F$2*100</f>
        <v/>
      </c>
      <c r="H53" s="5">
        <f>AVERAGE(F24:F53)</f>
        <v/>
      </c>
      <c r="I53" s="5">
        <f>SLOPE(F$2:F$731,$A$2:$A$731)*$A53+INTERCEPT(F$2:F$731,$A$2:$A$731)</f>
        <v/>
      </c>
      <c r="J53" s="6" t="inlineStr"/>
    </row>
    <row r="54">
      <c r="A54" s="2" t="n">
        <v>45344</v>
      </c>
      <c r="B54" s="3" t="n">
        <v>80.52</v>
      </c>
      <c r="C54" s="4">
        <f>B54/B$2*100</f>
        <v/>
      </c>
      <c r="D54" s="5">
        <f>AVERAGE(B25:B54)</f>
        <v/>
      </c>
      <c r="E54" s="5">
        <f>SLOPE(B$2:B$731,$A$2:$A$731)*$A54+INTERCEPT(B$2:B$731,$A$2:$A$731)</f>
        <v/>
      </c>
      <c r="F54" s="3" t="n">
        <v>0.79</v>
      </c>
      <c r="G54" s="4">
        <f>F54/F$2*100</f>
        <v/>
      </c>
      <c r="H54" s="5">
        <f>AVERAGE(F25:F54)</f>
        <v/>
      </c>
      <c r="I54" s="5">
        <f>SLOPE(F$2:F$731,$A$2:$A$731)*$A54+INTERCEPT(F$2:F$731,$A$2:$A$731)</f>
        <v/>
      </c>
      <c r="J54" s="6" t="inlineStr"/>
    </row>
    <row r="55">
      <c r="A55" s="2" t="n">
        <v>45345</v>
      </c>
      <c r="B55" s="3" t="n">
        <v>80.53</v>
      </c>
      <c r="C55" s="4">
        <f>B55/B$2*100</f>
        <v/>
      </c>
      <c r="D55" s="5">
        <f>AVERAGE(B26:B55)</f>
        <v/>
      </c>
      <c r="E55" s="5">
        <f>SLOPE(B$2:B$731,$A$2:$A$731)*$A55+INTERCEPT(B$2:B$731,$A$2:$A$731)</f>
        <v/>
      </c>
      <c r="F55" s="3" t="n">
        <v>0.79</v>
      </c>
      <c r="G55" s="4">
        <f>F55/F$2*100</f>
        <v/>
      </c>
      <c r="H55" s="5">
        <f>AVERAGE(F26:F55)</f>
        <v/>
      </c>
      <c r="I55" s="5">
        <f>SLOPE(F$2:F$731,$A$2:$A$731)*$A55+INTERCEPT(F$2:F$731,$A$2:$A$731)</f>
        <v/>
      </c>
      <c r="J55" s="6" t="inlineStr"/>
    </row>
    <row r="56">
      <c r="A56" s="2" t="n">
        <v>45346</v>
      </c>
      <c r="B56" s="3" t="n">
        <v>80.54000000000001</v>
      </c>
      <c r="C56" s="4">
        <f>B56/B$2*100</f>
        <v/>
      </c>
      <c r="D56" s="5">
        <f>AVERAGE(B27:B56)</f>
        <v/>
      </c>
      <c r="E56" s="5">
        <f>SLOPE(B$2:B$731,$A$2:$A$731)*$A56+INTERCEPT(B$2:B$731,$A$2:$A$731)</f>
        <v/>
      </c>
      <c r="F56" s="3" t="n">
        <v>0.79</v>
      </c>
      <c r="G56" s="4">
        <f>F56/F$2*100</f>
        <v/>
      </c>
      <c r="H56" s="5">
        <f>AVERAGE(F27:F56)</f>
        <v/>
      </c>
      <c r="I56" s="5">
        <f>SLOPE(F$2:F$731,$A$2:$A$731)*$A56+INTERCEPT(F$2:F$731,$A$2:$A$731)</f>
        <v/>
      </c>
      <c r="J56" s="6" t="inlineStr">
        <is>
          <t>yes</t>
        </is>
      </c>
    </row>
    <row r="57">
      <c r="A57" s="2" t="n">
        <v>45347</v>
      </c>
      <c r="B57" s="3" t="n">
        <v>80.55</v>
      </c>
      <c r="C57" s="4">
        <f>B57/B$2*100</f>
        <v/>
      </c>
      <c r="D57" s="5">
        <f>AVERAGE(B28:B57)</f>
        <v/>
      </c>
      <c r="E57" s="5">
        <f>SLOPE(B$2:B$731,$A$2:$A$731)*$A57+INTERCEPT(B$2:B$731,$A$2:$A$731)</f>
        <v/>
      </c>
      <c r="F57" s="3" t="n">
        <v>0.79</v>
      </c>
      <c r="G57" s="4">
        <f>F57/F$2*100</f>
        <v/>
      </c>
      <c r="H57" s="5">
        <f>AVERAGE(F28:F57)</f>
        <v/>
      </c>
      <c r="I57" s="5">
        <f>SLOPE(F$2:F$731,$A$2:$A$731)*$A57+INTERCEPT(F$2:F$731,$A$2:$A$731)</f>
        <v/>
      </c>
      <c r="J57" s="6" t="inlineStr">
        <is>
          <t>yes</t>
        </is>
      </c>
    </row>
    <row r="58">
      <c r="A58" s="2" t="n">
        <v>45348</v>
      </c>
      <c r="B58" s="3" t="n">
        <v>80.56</v>
      </c>
      <c r="C58" s="4">
        <f>B58/B$2*100</f>
        <v/>
      </c>
      <c r="D58" s="5">
        <f>AVERAGE(B29:B58)</f>
        <v/>
      </c>
      <c r="E58" s="5">
        <f>SLOPE(B$2:B$731,$A$2:$A$731)*$A58+INTERCEPT(B$2:B$731,$A$2:$A$731)</f>
        <v/>
      </c>
      <c r="F58" s="3" t="n">
        <v>0.79</v>
      </c>
      <c r="G58" s="4">
        <f>F58/F$2*100</f>
        <v/>
      </c>
      <c r="H58" s="5">
        <f>AVERAGE(F29:F58)</f>
        <v/>
      </c>
      <c r="I58" s="5">
        <f>SLOPE(F$2:F$731,$A$2:$A$731)*$A58+INTERCEPT(F$2:F$731,$A$2:$A$731)</f>
        <v/>
      </c>
      <c r="J58" s="6" t="inlineStr"/>
    </row>
    <row r="59">
      <c r="A59" s="2" t="n">
        <v>45349</v>
      </c>
      <c r="B59" s="3" t="n">
        <v>80.56999999999999</v>
      </c>
      <c r="C59" s="4">
        <f>B59/B$2*100</f>
        <v/>
      </c>
      <c r="D59" s="5">
        <f>AVERAGE(B30:B59)</f>
        <v/>
      </c>
      <c r="E59" s="5">
        <f>SLOPE(B$2:B$731,$A$2:$A$731)*$A59+INTERCEPT(B$2:B$731,$A$2:$A$731)</f>
        <v/>
      </c>
      <c r="F59" s="3" t="n">
        <v>0.79</v>
      </c>
      <c r="G59" s="4">
        <f>F59/F$2*100</f>
        <v/>
      </c>
      <c r="H59" s="5">
        <f>AVERAGE(F30:F59)</f>
        <v/>
      </c>
      <c r="I59" s="5">
        <f>SLOPE(F$2:F$731,$A$2:$A$731)*$A59+INTERCEPT(F$2:F$731,$A$2:$A$731)</f>
        <v/>
      </c>
      <c r="J59" s="6" t="inlineStr"/>
    </row>
    <row r="60">
      <c r="A60" s="2" t="n">
        <v>45350</v>
      </c>
      <c r="B60" s="3" t="n">
        <v>80.58</v>
      </c>
      <c r="C60" s="4">
        <f>B60/B$2*100</f>
        <v/>
      </c>
      <c r="D60" s="5">
        <f>AVERAGE(B31:B60)</f>
        <v/>
      </c>
      <c r="E60" s="5">
        <f>SLOPE(B$2:B$731,$A$2:$A$731)*$A60+INTERCEPT(B$2:B$731,$A$2:$A$731)</f>
        <v/>
      </c>
      <c r="F60" s="3" t="n">
        <v>0.79</v>
      </c>
      <c r="G60" s="4">
        <f>F60/F$2*100</f>
        <v/>
      </c>
      <c r="H60" s="5">
        <f>AVERAGE(F31:F60)</f>
        <v/>
      </c>
      <c r="I60" s="5">
        <f>SLOPE(F$2:F$731,$A$2:$A$731)*$A60+INTERCEPT(F$2:F$731,$A$2:$A$731)</f>
        <v/>
      </c>
      <c r="J60" s="6" t="inlineStr"/>
    </row>
    <row r="61">
      <c r="A61" s="2" t="n">
        <v>45351</v>
      </c>
      <c r="B61" s="3" t="n">
        <v>80.59</v>
      </c>
      <c r="C61" s="4">
        <f>B61/B$2*100</f>
        <v/>
      </c>
      <c r="D61" s="5">
        <f>AVERAGE(B32:B61)</f>
        <v/>
      </c>
      <c r="E61" s="5">
        <f>SLOPE(B$2:B$731,$A$2:$A$731)*$A61+INTERCEPT(B$2:B$731,$A$2:$A$731)</f>
        <v/>
      </c>
      <c r="F61" s="3" t="n">
        <v>0.79</v>
      </c>
      <c r="G61" s="4">
        <f>F61/F$2*100</f>
        <v/>
      </c>
      <c r="H61" s="5">
        <f>AVERAGE(F32:F61)</f>
        <v/>
      </c>
      <c r="I61" s="5">
        <f>SLOPE(F$2:F$731,$A$2:$A$731)*$A61+INTERCEPT(F$2:F$731,$A$2:$A$731)</f>
        <v/>
      </c>
      <c r="J61" s="6" t="inlineStr"/>
    </row>
    <row r="62">
      <c r="A62" s="2" t="n">
        <v>45352</v>
      </c>
      <c r="B62" s="3" t="n">
        <v>80.59999999999999</v>
      </c>
      <c r="C62" s="4">
        <f>B62/B$2*100</f>
        <v/>
      </c>
      <c r="D62" s="5">
        <f>AVERAGE(B33:B62)</f>
        <v/>
      </c>
      <c r="E62" s="5">
        <f>SLOPE(B$2:B$731,$A$2:$A$731)*$A62+INTERCEPT(B$2:B$731,$A$2:$A$731)</f>
        <v/>
      </c>
      <c r="F62" s="3" t="n">
        <v>0.79</v>
      </c>
      <c r="G62" s="4">
        <f>F62/F$2*100</f>
        <v/>
      </c>
      <c r="H62" s="5">
        <f>AVERAGE(F33:F62)</f>
        <v/>
      </c>
      <c r="I62" s="5">
        <f>SLOPE(F$2:F$731,$A$2:$A$731)*$A62+INTERCEPT(F$2:F$731,$A$2:$A$731)</f>
        <v/>
      </c>
      <c r="J62" s="6" t="inlineStr"/>
    </row>
    <row r="63">
      <c r="A63" s="2" t="n">
        <v>45353</v>
      </c>
      <c r="B63" s="3" t="n">
        <v>80.61</v>
      </c>
      <c r="C63" s="4">
        <f>B63/B$2*100</f>
        <v/>
      </c>
      <c r="D63" s="5">
        <f>AVERAGE(B34:B63)</f>
        <v/>
      </c>
      <c r="E63" s="5">
        <f>SLOPE(B$2:B$731,$A$2:$A$731)*$A63+INTERCEPT(B$2:B$731,$A$2:$A$731)</f>
        <v/>
      </c>
      <c r="F63" s="3" t="n">
        <v>0.79</v>
      </c>
      <c r="G63" s="4">
        <f>F63/F$2*100</f>
        <v/>
      </c>
      <c r="H63" s="5">
        <f>AVERAGE(F34:F63)</f>
        <v/>
      </c>
      <c r="I63" s="5">
        <f>SLOPE(F$2:F$731,$A$2:$A$731)*$A63+INTERCEPT(F$2:F$731,$A$2:$A$731)</f>
        <v/>
      </c>
      <c r="J63" s="6" t="inlineStr">
        <is>
          <t>yes</t>
        </is>
      </c>
    </row>
    <row r="64">
      <c r="A64" s="2" t="n">
        <v>45354</v>
      </c>
      <c r="B64" s="3" t="n">
        <v>80.62</v>
      </c>
      <c r="C64" s="4">
        <f>B64/B$2*100</f>
        <v/>
      </c>
      <c r="D64" s="5">
        <f>AVERAGE(B35:B64)</f>
        <v/>
      </c>
      <c r="E64" s="5">
        <f>SLOPE(B$2:B$731,$A$2:$A$731)*$A64+INTERCEPT(B$2:B$731,$A$2:$A$731)</f>
        <v/>
      </c>
      <c r="F64" s="3" t="n">
        <v>0.79</v>
      </c>
      <c r="G64" s="4">
        <f>F64/F$2*100</f>
        <v/>
      </c>
      <c r="H64" s="5">
        <f>AVERAGE(F35:F64)</f>
        <v/>
      </c>
      <c r="I64" s="5">
        <f>SLOPE(F$2:F$731,$A$2:$A$731)*$A64+INTERCEPT(F$2:F$731,$A$2:$A$731)</f>
        <v/>
      </c>
      <c r="J64" s="6" t="inlineStr">
        <is>
          <t>yes</t>
        </is>
      </c>
    </row>
    <row r="65">
      <c r="A65" s="2" t="n">
        <v>45355</v>
      </c>
      <c r="B65" s="3" t="n">
        <v>80.63</v>
      </c>
      <c r="C65" s="4">
        <f>B65/B$2*100</f>
        <v/>
      </c>
      <c r="D65" s="5">
        <f>AVERAGE(B36:B65)</f>
        <v/>
      </c>
      <c r="E65" s="5">
        <f>SLOPE(B$2:B$731,$A$2:$A$731)*$A65+INTERCEPT(B$2:B$731,$A$2:$A$731)</f>
        <v/>
      </c>
      <c r="F65" s="3" t="n">
        <v>0.79</v>
      </c>
      <c r="G65" s="4">
        <f>F65/F$2*100</f>
        <v/>
      </c>
      <c r="H65" s="5">
        <f>AVERAGE(F36:F65)</f>
        <v/>
      </c>
      <c r="I65" s="5">
        <f>SLOPE(F$2:F$731,$A$2:$A$731)*$A65+INTERCEPT(F$2:F$731,$A$2:$A$731)</f>
        <v/>
      </c>
      <c r="J65" s="6" t="inlineStr"/>
    </row>
    <row r="66">
      <c r="A66" s="2" t="n">
        <v>45356</v>
      </c>
      <c r="B66" s="3" t="n">
        <v>80.64</v>
      </c>
      <c r="C66" s="4">
        <f>B66/B$2*100</f>
        <v/>
      </c>
      <c r="D66" s="5">
        <f>AVERAGE(B37:B66)</f>
        <v/>
      </c>
      <c r="E66" s="5">
        <f>SLOPE(B$2:B$731,$A$2:$A$731)*$A66+INTERCEPT(B$2:B$731,$A$2:$A$731)</f>
        <v/>
      </c>
      <c r="F66" s="3" t="n">
        <v>0.79</v>
      </c>
      <c r="G66" s="4">
        <f>F66/F$2*100</f>
        <v/>
      </c>
      <c r="H66" s="5">
        <f>AVERAGE(F37:F66)</f>
        <v/>
      </c>
      <c r="I66" s="5">
        <f>SLOPE(F$2:F$731,$A$2:$A$731)*$A66+INTERCEPT(F$2:F$731,$A$2:$A$731)</f>
        <v/>
      </c>
      <c r="J66" s="6" t="inlineStr"/>
    </row>
    <row r="67">
      <c r="A67" s="2" t="n">
        <v>45357</v>
      </c>
      <c r="B67" s="3" t="n">
        <v>80.65000000000001</v>
      </c>
      <c r="C67" s="4">
        <f>B67/B$2*100</f>
        <v/>
      </c>
      <c r="D67" s="5">
        <f>AVERAGE(B38:B67)</f>
        <v/>
      </c>
      <c r="E67" s="5">
        <f>SLOPE(B$2:B$731,$A$2:$A$731)*$A67+INTERCEPT(B$2:B$731,$A$2:$A$731)</f>
        <v/>
      </c>
      <c r="F67" s="3" t="n">
        <v>0.79</v>
      </c>
      <c r="G67" s="4">
        <f>F67/F$2*100</f>
        <v/>
      </c>
      <c r="H67" s="5">
        <f>AVERAGE(F38:F67)</f>
        <v/>
      </c>
      <c r="I67" s="5">
        <f>SLOPE(F$2:F$731,$A$2:$A$731)*$A67+INTERCEPT(F$2:F$731,$A$2:$A$731)</f>
        <v/>
      </c>
      <c r="J67" s="6" t="inlineStr"/>
    </row>
    <row r="68">
      <c r="A68" s="2" t="n">
        <v>45358</v>
      </c>
      <c r="B68" s="3" t="n">
        <v>80.66</v>
      </c>
      <c r="C68" s="4">
        <f>B68/B$2*100</f>
        <v/>
      </c>
      <c r="D68" s="5">
        <f>AVERAGE(B39:B68)</f>
        <v/>
      </c>
      <c r="E68" s="5">
        <f>SLOPE(B$2:B$731,$A$2:$A$731)*$A68+INTERCEPT(B$2:B$731,$A$2:$A$731)</f>
        <v/>
      </c>
      <c r="F68" s="3" t="n">
        <v>0.79</v>
      </c>
      <c r="G68" s="4">
        <f>F68/F$2*100</f>
        <v/>
      </c>
      <c r="H68" s="5">
        <f>AVERAGE(F39:F68)</f>
        <v/>
      </c>
      <c r="I68" s="5">
        <f>SLOPE(F$2:F$731,$A$2:$A$731)*$A68+INTERCEPT(F$2:F$731,$A$2:$A$731)</f>
        <v/>
      </c>
      <c r="J68" s="6" t="inlineStr"/>
    </row>
    <row r="69">
      <c r="A69" s="2" t="n">
        <v>45359</v>
      </c>
      <c r="B69" s="3" t="n">
        <v>80.67</v>
      </c>
      <c r="C69" s="4">
        <f>B69/B$2*100</f>
        <v/>
      </c>
      <c r="D69" s="5">
        <f>AVERAGE(B40:B69)</f>
        <v/>
      </c>
      <c r="E69" s="5">
        <f>SLOPE(B$2:B$731,$A$2:$A$731)*$A69+INTERCEPT(B$2:B$731,$A$2:$A$731)</f>
        <v/>
      </c>
      <c r="F69" s="3" t="n">
        <v>0.79</v>
      </c>
      <c r="G69" s="4">
        <f>F69/F$2*100</f>
        <v/>
      </c>
      <c r="H69" s="5">
        <f>AVERAGE(F40:F69)</f>
        <v/>
      </c>
      <c r="I69" s="5">
        <f>SLOPE(F$2:F$731,$A$2:$A$731)*$A69+INTERCEPT(F$2:F$731,$A$2:$A$731)</f>
        <v/>
      </c>
      <c r="J69" s="6" t="inlineStr"/>
    </row>
    <row r="70">
      <c r="A70" s="2" t="n">
        <v>45360</v>
      </c>
      <c r="B70" s="3" t="n">
        <v>80.68000000000001</v>
      </c>
      <c r="C70" s="4">
        <f>B70/B$2*100</f>
        <v/>
      </c>
      <c r="D70" s="5">
        <f>AVERAGE(B41:B70)</f>
        <v/>
      </c>
      <c r="E70" s="5">
        <f>SLOPE(B$2:B$731,$A$2:$A$731)*$A70+INTERCEPT(B$2:B$731,$A$2:$A$731)</f>
        <v/>
      </c>
      <c r="F70" s="3" t="n">
        <v>0.79</v>
      </c>
      <c r="G70" s="4">
        <f>F70/F$2*100</f>
        <v/>
      </c>
      <c r="H70" s="5">
        <f>AVERAGE(F41:F70)</f>
        <v/>
      </c>
      <c r="I70" s="5">
        <f>SLOPE(F$2:F$731,$A$2:$A$731)*$A70+INTERCEPT(F$2:F$731,$A$2:$A$731)</f>
        <v/>
      </c>
      <c r="J70" s="6" t="inlineStr">
        <is>
          <t>yes</t>
        </is>
      </c>
    </row>
    <row r="71">
      <c r="A71" s="2" t="n">
        <v>45361</v>
      </c>
      <c r="B71" s="3" t="n">
        <v>80.69</v>
      </c>
      <c r="C71" s="4">
        <f>B71/B$2*100</f>
        <v/>
      </c>
      <c r="D71" s="5">
        <f>AVERAGE(B42:B71)</f>
        <v/>
      </c>
      <c r="E71" s="5">
        <f>SLOPE(B$2:B$731,$A$2:$A$731)*$A71+INTERCEPT(B$2:B$731,$A$2:$A$731)</f>
        <v/>
      </c>
      <c r="F71" s="3" t="n">
        <v>0.79</v>
      </c>
      <c r="G71" s="4">
        <f>F71/F$2*100</f>
        <v/>
      </c>
      <c r="H71" s="5">
        <f>AVERAGE(F42:F71)</f>
        <v/>
      </c>
      <c r="I71" s="5">
        <f>SLOPE(F$2:F$731,$A$2:$A$731)*$A71+INTERCEPT(F$2:F$731,$A$2:$A$731)</f>
        <v/>
      </c>
      <c r="J71" s="6" t="inlineStr">
        <is>
          <t>yes</t>
        </is>
      </c>
    </row>
    <row r="72">
      <c r="A72" s="2" t="n">
        <v>45362</v>
      </c>
      <c r="B72" s="3" t="n">
        <v>80.7</v>
      </c>
      <c r="C72" s="4">
        <f>B72/B$2*100</f>
        <v/>
      </c>
      <c r="D72" s="5">
        <f>AVERAGE(B43:B72)</f>
        <v/>
      </c>
      <c r="E72" s="5">
        <f>SLOPE(B$2:B$731,$A$2:$A$731)*$A72+INTERCEPT(B$2:B$731,$A$2:$A$731)</f>
        <v/>
      </c>
      <c r="F72" s="3" t="n">
        <v>0.79</v>
      </c>
      <c r="G72" s="4">
        <f>F72/F$2*100</f>
        <v/>
      </c>
      <c r="H72" s="5">
        <f>AVERAGE(F43:F72)</f>
        <v/>
      </c>
      <c r="I72" s="5">
        <f>SLOPE(F$2:F$731,$A$2:$A$731)*$A72+INTERCEPT(F$2:F$731,$A$2:$A$731)</f>
        <v/>
      </c>
      <c r="J72" s="6" t="inlineStr"/>
    </row>
    <row r="73">
      <c r="A73" s="2" t="n">
        <v>45363</v>
      </c>
      <c r="B73" s="3" t="n">
        <v>80.70999999999999</v>
      </c>
      <c r="C73" s="4">
        <f>B73/B$2*100</f>
        <v/>
      </c>
      <c r="D73" s="5">
        <f>AVERAGE(B44:B73)</f>
        <v/>
      </c>
      <c r="E73" s="5">
        <f>SLOPE(B$2:B$731,$A$2:$A$731)*$A73+INTERCEPT(B$2:B$731,$A$2:$A$731)</f>
        <v/>
      </c>
      <c r="F73" s="3" t="n">
        <v>0.79</v>
      </c>
      <c r="G73" s="4">
        <f>F73/F$2*100</f>
        <v/>
      </c>
      <c r="H73" s="5">
        <f>AVERAGE(F44:F73)</f>
        <v/>
      </c>
      <c r="I73" s="5">
        <f>SLOPE(F$2:F$731,$A$2:$A$731)*$A73+INTERCEPT(F$2:F$731,$A$2:$A$731)</f>
        <v/>
      </c>
      <c r="J73" s="6" t="inlineStr"/>
    </row>
    <row r="74">
      <c r="A74" s="2" t="n">
        <v>45364</v>
      </c>
      <c r="B74" s="3" t="n">
        <v>80.72</v>
      </c>
      <c r="C74" s="4">
        <f>B74/B$2*100</f>
        <v/>
      </c>
      <c r="D74" s="5">
        <f>AVERAGE(B45:B74)</f>
        <v/>
      </c>
      <c r="E74" s="5">
        <f>SLOPE(B$2:B$731,$A$2:$A$731)*$A74+INTERCEPT(B$2:B$731,$A$2:$A$731)</f>
        <v/>
      </c>
      <c r="F74" s="3" t="n">
        <v>0.79</v>
      </c>
      <c r="G74" s="4">
        <f>F74/F$2*100</f>
        <v/>
      </c>
      <c r="H74" s="5">
        <f>AVERAGE(F45:F74)</f>
        <v/>
      </c>
      <c r="I74" s="5">
        <f>SLOPE(F$2:F$731,$A$2:$A$731)*$A74+INTERCEPT(F$2:F$731,$A$2:$A$731)</f>
        <v/>
      </c>
      <c r="J74" s="6" t="inlineStr"/>
    </row>
    <row r="75">
      <c r="A75" s="2" t="n">
        <v>45365</v>
      </c>
      <c r="B75" s="3" t="n">
        <v>80.73</v>
      </c>
      <c r="C75" s="4">
        <f>B75/B$2*100</f>
        <v/>
      </c>
      <c r="D75" s="5">
        <f>AVERAGE(B46:B75)</f>
        <v/>
      </c>
      <c r="E75" s="5">
        <f>SLOPE(B$2:B$731,$A$2:$A$731)*$A75+INTERCEPT(B$2:B$731,$A$2:$A$731)</f>
        <v/>
      </c>
      <c r="F75" s="3" t="n">
        <v>0.79</v>
      </c>
      <c r="G75" s="4">
        <f>F75/F$2*100</f>
        <v/>
      </c>
      <c r="H75" s="5">
        <f>AVERAGE(F46:F75)</f>
        <v/>
      </c>
      <c r="I75" s="5">
        <f>SLOPE(F$2:F$731,$A$2:$A$731)*$A75+INTERCEPT(F$2:F$731,$A$2:$A$731)</f>
        <v/>
      </c>
      <c r="J75" s="6" t="inlineStr"/>
    </row>
    <row r="76">
      <c r="A76" s="2" t="n">
        <v>45366</v>
      </c>
      <c r="B76" s="3" t="n">
        <v>80.73999999999999</v>
      </c>
      <c r="C76" s="4">
        <f>B76/B$2*100</f>
        <v/>
      </c>
      <c r="D76" s="5">
        <f>AVERAGE(B47:B76)</f>
        <v/>
      </c>
      <c r="E76" s="5">
        <f>SLOPE(B$2:B$731,$A$2:$A$731)*$A76+INTERCEPT(B$2:B$731,$A$2:$A$731)</f>
        <v/>
      </c>
      <c r="F76" s="3" t="n">
        <v>0.79</v>
      </c>
      <c r="G76" s="4">
        <f>F76/F$2*100</f>
        <v/>
      </c>
      <c r="H76" s="5">
        <f>AVERAGE(F47:F76)</f>
        <v/>
      </c>
      <c r="I76" s="5">
        <f>SLOPE(F$2:F$731,$A$2:$A$731)*$A76+INTERCEPT(F$2:F$731,$A$2:$A$731)</f>
        <v/>
      </c>
      <c r="J76" s="6" t="inlineStr"/>
    </row>
    <row r="77">
      <c r="A77" s="2" t="n">
        <v>45367</v>
      </c>
      <c r="B77" s="3" t="n">
        <v>80.75</v>
      </c>
      <c r="C77" s="4">
        <f>B77/B$2*100</f>
        <v/>
      </c>
      <c r="D77" s="5">
        <f>AVERAGE(B48:B77)</f>
        <v/>
      </c>
      <c r="E77" s="5">
        <f>SLOPE(B$2:B$731,$A$2:$A$731)*$A77+INTERCEPT(B$2:B$731,$A$2:$A$731)</f>
        <v/>
      </c>
      <c r="F77" s="3" t="n">
        <v>0.79</v>
      </c>
      <c r="G77" s="4">
        <f>F77/F$2*100</f>
        <v/>
      </c>
      <c r="H77" s="5">
        <f>AVERAGE(F48:F77)</f>
        <v/>
      </c>
      <c r="I77" s="5">
        <f>SLOPE(F$2:F$731,$A$2:$A$731)*$A77+INTERCEPT(F$2:F$731,$A$2:$A$731)</f>
        <v/>
      </c>
      <c r="J77" s="6" t="inlineStr">
        <is>
          <t>yes</t>
        </is>
      </c>
    </row>
    <row r="78">
      <c r="A78" s="2" t="n">
        <v>45368</v>
      </c>
      <c r="B78" s="3" t="n">
        <v>80.76000000000001</v>
      </c>
      <c r="C78" s="4">
        <f>B78/B$2*100</f>
        <v/>
      </c>
      <c r="D78" s="5">
        <f>AVERAGE(B49:B78)</f>
        <v/>
      </c>
      <c r="E78" s="5">
        <f>SLOPE(B$2:B$731,$A$2:$A$731)*$A78+INTERCEPT(B$2:B$731,$A$2:$A$731)</f>
        <v/>
      </c>
      <c r="F78" s="3" t="n">
        <v>0.79</v>
      </c>
      <c r="G78" s="4">
        <f>F78/F$2*100</f>
        <v/>
      </c>
      <c r="H78" s="5">
        <f>AVERAGE(F49:F78)</f>
        <v/>
      </c>
      <c r="I78" s="5">
        <f>SLOPE(F$2:F$731,$A$2:$A$731)*$A78+INTERCEPT(F$2:F$731,$A$2:$A$731)</f>
        <v/>
      </c>
      <c r="J78" s="6" t="inlineStr">
        <is>
          <t>yes</t>
        </is>
      </c>
    </row>
    <row r="79">
      <c r="A79" s="2" t="n">
        <v>45369</v>
      </c>
      <c r="B79" s="3" t="n">
        <v>80.77</v>
      </c>
      <c r="C79" s="4">
        <f>B79/B$2*100</f>
        <v/>
      </c>
      <c r="D79" s="5">
        <f>AVERAGE(B50:B79)</f>
        <v/>
      </c>
      <c r="E79" s="5">
        <f>SLOPE(B$2:B$731,$A$2:$A$731)*$A79+INTERCEPT(B$2:B$731,$A$2:$A$731)</f>
        <v/>
      </c>
      <c r="F79" s="3" t="n">
        <v>0.79</v>
      </c>
      <c r="G79" s="4">
        <f>F79/F$2*100</f>
        <v/>
      </c>
      <c r="H79" s="5">
        <f>AVERAGE(F50:F79)</f>
        <v/>
      </c>
      <c r="I79" s="5">
        <f>SLOPE(F$2:F$731,$A$2:$A$731)*$A79+INTERCEPT(F$2:F$731,$A$2:$A$731)</f>
        <v/>
      </c>
      <c r="J79" s="6" t="inlineStr"/>
    </row>
    <row r="80">
      <c r="A80" s="2" t="n">
        <v>45370</v>
      </c>
      <c r="B80" s="3" t="n">
        <v>80.78</v>
      </c>
      <c r="C80" s="4">
        <f>B80/B$2*100</f>
        <v/>
      </c>
      <c r="D80" s="5">
        <f>AVERAGE(B51:B80)</f>
        <v/>
      </c>
      <c r="E80" s="5">
        <f>SLOPE(B$2:B$731,$A$2:$A$731)*$A80+INTERCEPT(B$2:B$731,$A$2:$A$731)</f>
        <v/>
      </c>
      <c r="F80" s="3" t="n">
        <v>0.79</v>
      </c>
      <c r="G80" s="4">
        <f>F80/F$2*100</f>
        <v/>
      </c>
      <c r="H80" s="5">
        <f>AVERAGE(F51:F80)</f>
        <v/>
      </c>
      <c r="I80" s="5">
        <f>SLOPE(F$2:F$731,$A$2:$A$731)*$A80+INTERCEPT(F$2:F$731,$A$2:$A$731)</f>
        <v/>
      </c>
      <c r="J80" s="6" t="inlineStr"/>
    </row>
    <row r="81">
      <c r="A81" s="2" t="n">
        <v>45371</v>
      </c>
      <c r="B81" s="3" t="n">
        <v>80.79000000000001</v>
      </c>
      <c r="C81" s="4">
        <f>B81/B$2*100</f>
        <v/>
      </c>
      <c r="D81" s="5">
        <f>AVERAGE(B52:B81)</f>
        <v/>
      </c>
      <c r="E81" s="5">
        <f>SLOPE(B$2:B$731,$A$2:$A$731)*$A81+INTERCEPT(B$2:B$731,$A$2:$A$731)</f>
        <v/>
      </c>
      <c r="F81" s="3" t="n">
        <v>0.79</v>
      </c>
      <c r="G81" s="4">
        <f>F81/F$2*100</f>
        <v/>
      </c>
      <c r="H81" s="5">
        <f>AVERAGE(F52:F81)</f>
        <v/>
      </c>
      <c r="I81" s="5">
        <f>SLOPE(F$2:F$731,$A$2:$A$731)*$A81+INTERCEPT(F$2:F$731,$A$2:$A$731)</f>
        <v/>
      </c>
      <c r="J81" s="6" t="inlineStr"/>
    </row>
    <row r="82">
      <c r="A82" s="2" t="n">
        <v>45372</v>
      </c>
      <c r="B82" s="3" t="n">
        <v>80.8</v>
      </c>
      <c r="C82" s="4">
        <f>B82/B$2*100</f>
        <v/>
      </c>
      <c r="D82" s="5">
        <f>AVERAGE(B53:B82)</f>
        <v/>
      </c>
      <c r="E82" s="5">
        <f>SLOPE(B$2:B$731,$A$2:$A$731)*$A82+INTERCEPT(B$2:B$731,$A$2:$A$731)</f>
        <v/>
      </c>
      <c r="F82" s="3" t="n">
        <v>0.79</v>
      </c>
      <c r="G82" s="4">
        <f>F82/F$2*100</f>
        <v/>
      </c>
      <c r="H82" s="5">
        <f>AVERAGE(F53:F82)</f>
        <v/>
      </c>
      <c r="I82" s="5">
        <f>SLOPE(F$2:F$731,$A$2:$A$731)*$A82+INTERCEPT(F$2:F$731,$A$2:$A$731)</f>
        <v/>
      </c>
      <c r="J82" s="6" t="inlineStr"/>
    </row>
    <row r="83">
      <c r="A83" s="2" t="n">
        <v>45373</v>
      </c>
      <c r="B83" s="3" t="n">
        <v>80.81</v>
      </c>
      <c r="C83" s="4">
        <f>B83/B$2*100</f>
        <v/>
      </c>
      <c r="D83" s="5">
        <f>AVERAGE(B54:B83)</f>
        <v/>
      </c>
      <c r="E83" s="5">
        <f>SLOPE(B$2:B$731,$A$2:$A$731)*$A83+INTERCEPT(B$2:B$731,$A$2:$A$731)</f>
        <v/>
      </c>
      <c r="F83" s="3" t="n">
        <v>0.79</v>
      </c>
      <c r="G83" s="4">
        <f>F83/F$2*100</f>
        <v/>
      </c>
      <c r="H83" s="5">
        <f>AVERAGE(F54:F83)</f>
        <v/>
      </c>
      <c r="I83" s="5">
        <f>SLOPE(F$2:F$731,$A$2:$A$731)*$A83+INTERCEPT(F$2:F$731,$A$2:$A$731)</f>
        <v/>
      </c>
      <c r="J83" s="6" t="inlineStr"/>
    </row>
    <row r="84">
      <c r="A84" s="2" t="n">
        <v>45374</v>
      </c>
      <c r="B84" s="3" t="n">
        <v>80.81999999999999</v>
      </c>
      <c r="C84" s="4">
        <f>B84/B$2*100</f>
        <v/>
      </c>
      <c r="D84" s="5">
        <f>AVERAGE(B55:B84)</f>
        <v/>
      </c>
      <c r="E84" s="5">
        <f>SLOPE(B$2:B$731,$A$2:$A$731)*$A84+INTERCEPT(B$2:B$731,$A$2:$A$731)</f>
        <v/>
      </c>
      <c r="F84" s="3" t="n">
        <v>0.79</v>
      </c>
      <c r="G84" s="4">
        <f>F84/F$2*100</f>
        <v/>
      </c>
      <c r="H84" s="5">
        <f>AVERAGE(F55:F84)</f>
        <v/>
      </c>
      <c r="I84" s="5">
        <f>SLOPE(F$2:F$731,$A$2:$A$731)*$A84+INTERCEPT(F$2:F$731,$A$2:$A$731)</f>
        <v/>
      </c>
      <c r="J84" s="6" t="inlineStr">
        <is>
          <t>yes</t>
        </is>
      </c>
    </row>
    <row r="85">
      <c r="A85" s="2" t="n">
        <v>45375</v>
      </c>
      <c r="B85" s="3" t="n">
        <v>80.83</v>
      </c>
      <c r="C85" s="4">
        <f>B85/B$2*100</f>
        <v/>
      </c>
      <c r="D85" s="5">
        <f>AVERAGE(B56:B85)</f>
        <v/>
      </c>
      <c r="E85" s="5">
        <f>SLOPE(B$2:B$731,$A$2:$A$731)*$A85+INTERCEPT(B$2:B$731,$A$2:$A$731)</f>
        <v/>
      </c>
      <c r="F85" s="3" t="n">
        <v>0.79</v>
      </c>
      <c r="G85" s="4">
        <f>F85/F$2*100</f>
        <v/>
      </c>
      <c r="H85" s="5">
        <f>AVERAGE(F56:F85)</f>
        <v/>
      </c>
      <c r="I85" s="5">
        <f>SLOPE(F$2:F$731,$A$2:$A$731)*$A85+INTERCEPT(F$2:F$731,$A$2:$A$731)</f>
        <v/>
      </c>
      <c r="J85" s="6" t="inlineStr">
        <is>
          <t>yes</t>
        </is>
      </c>
    </row>
    <row r="86">
      <c r="A86" s="2" t="n">
        <v>45376</v>
      </c>
      <c r="B86" s="3" t="n">
        <v>80.84</v>
      </c>
      <c r="C86" s="4">
        <f>B86/B$2*100</f>
        <v/>
      </c>
      <c r="D86" s="5">
        <f>AVERAGE(B57:B86)</f>
        <v/>
      </c>
      <c r="E86" s="5">
        <f>SLOPE(B$2:B$731,$A$2:$A$731)*$A86+INTERCEPT(B$2:B$731,$A$2:$A$731)</f>
        <v/>
      </c>
      <c r="F86" s="3" t="n">
        <v>0.79</v>
      </c>
      <c r="G86" s="4">
        <f>F86/F$2*100</f>
        <v/>
      </c>
      <c r="H86" s="5">
        <f>AVERAGE(F57:F86)</f>
        <v/>
      </c>
      <c r="I86" s="5">
        <f>SLOPE(F$2:F$731,$A$2:$A$731)*$A86+INTERCEPT(F$2:F$731,$A$2:$A$731)</f>
        <v/>
      </c>
      <c r="J86" s="6" t="inlineStr"/>
    </row>
    <row r="87">
      <c r="A87" s="2" t="n">
        <v>45377</v>
      </c>
      <c r="B87" s="3" t="n">
        <v>80.84999999999999</v>
      </c>
      <c r="C87" s="4">
        <f>B87/B$2*100</f>
        <v/>
      </c>
      <c r="D87" s="5">
        <f>AVERAGE(B58:B87)</f>
        <v/>
      </c>
      <c r="E87" s="5">
        <f>SLOPE(B$2:B$731,$A$2:$A$731)*$A87+INTERCEPT(B$2:B$731,$A$2:$A$731)</f>
        <v/>
      </c>
      <c r="F87" s="3" t="n">
        <v>0.79</v>
      </c>
      <c r="G87" s="4">
        <f>F87/F$2*100</f>
        <v/>
      </c>
      <c r="H87" s="5">
        <f>AVERAGE(F58:F87)</f>
        <v/>
      </c>
      <c r="I87" s="5">
        <f>SLOPE(F$2:F$731,$A$2:$A$731)*$A87+INTERCEPT(F$2:F$731,$A$2:$A$731)</f>
        <v/>
      </c>
      <c r="J87" s="6" t="inlineStr"/>
    </row>
    <row r="88">
      <c r="A88" s="2" t="n">
        <v>45378</v>
      </c>
      <c r="B88" s="3" t="n">
        <v>80.86</v>
      </c>
      <c r="C88" s="4">
        <f>B88/B$2*100</f>
        <v/>
      </c>
      <c r="D88" s="5">
        <f>AVERAGE(B59:B88)</f>
        <v/>
      </c>
      <c r="E88" s="5">
        <f>SLOPE(B$2:B$731,$A$2:$A$731)*$A88+INTERCEPT(B$2:B$731,$A$2:$A$731)</f>
        <v/>
      </c>
      <c r="F88" s="3" t="n">
        <v>0.79</v>
      </c>
      <c r="G88" s="4">
        <f>F88/F$2*100</f>
        <v/>
      </c>
      <c r="H88" s="5">
        <f>AVERAGE(F59:F88)</f>
        <v/>
      </c>
      <c r="I88" s="5">
        <f>SLOPE(F$2:F$731,$A$2:$A$731)*$A88+INTERCEPT(F$2:F$731,$A$2:$A$731)</f>
        <v/>
      </c>
      <c r="J88" s="6" t="inlineStr"/>
    </row>
    <row r="89">
      <c r="A89" s="2" t="n">
        <v>45379</v>
      </c>
      <c r="B89" s="3" t="n">
        <v>80.87</v>
      </c>
      <c r="C89" s="4">
        <f>B89/B$2*100</f>
        <v/>
      </c>
      <c r="D89" s="5">
        <f>AVERAGE(B60:B89)</f>
        <v/>
      </c>
      <c r="E89" s="5">
        <f>SLOPE(B$2:B$731,$A$2:$A$731)*$A89+INTERCEPT(B$2:B$731,$A$2:$A$731)</f>
        <v/>
      </c>
      <c r="F89" s="3" t="n">
        <v>0.79</v>
      </c>
      <c r="G89" s="4">
        <f>F89/F$2*100</f>
        <v/>
      </c>
      <c r="H89" s="5">
        <f>AVERAGE(F60:F89)</f>
        <v/>
      </c>
      <c r="I89" s="5">
        <f>SLOPE(F$2:F$731,$A$2:$A$731)*$A89+INTERCEPT(F$2:F$731,$A$2:$A$731)</f>
        <v/>
      </c>
      <c r="J89" s="6" t="inlineStr"/>
    </row>
    <row r="90">
      <c r="A90" s="2" t="n">
        <v>45380</v>
      </c>
      <c r="B90" s="3" t="n">
        <v>80.88</v>
      </c>
      <c r="C90" s="4">
        <f>B90/B$2*100</f>
        <v/>
      </c>
      <c r="D90" s="5">
        <f>AVERAGE(B61:B90)</f>
        <v/>
      </c>
      <c r="E90" s="5">
        <f>SLOPE(B$2:B$731,$A$2:$A$731)*$A90+INTERCEPT(B$2:B$731,$A$2:$A$731)</f>
        <v/>
      </c>
      <c r="F90" s="3" t="n">
        <v>0.79</v>
      </c>
      <c r="G90" s="4">
        <f>F90/F$2*100</f>
        <v/>
      </c>
      <c r="H90" s="5">
        <f>AVERAGE(F61:F90)</f>
        <v/>
      </c>
      <c r="I90" s="5">
        <f>SLOPE(F$2:F$731,$A$2:$A$731)*$A90+INTERCEPT(F$2:F$731,$A$2:$A$731)</f>
        <v/>
      </c>
      <c r="J90" s="6" t="inlineStr"/>
    </row>
    <row r="91">
      <c r="A91" s="2" t="n">
        <v>45381</v>
      </c>
      <c r="B91" s="3" t="n">
        <v>80.89</v>
      </c>
      <c r="C91" s="4">
        <f>B91/B$2*100</f>
        <v/>
      </c>
      <c r="D91" s="5">
        <f>AVERAGE(B62:B91)</f>
        <v/>
      </c>
      <c r="E91" s="5">
        <f>SLOPE(B$2:B$731,$A$2:$A$731)*$A91+INTERCEPT(B$2:B$731,$A$2:$A$731)</f>
        <v/>
      </c>
      <c r="F91" s="3" t="n">
        <v>0.79</v>
      </c>
      <c r="G91" s="4">
        <f>F91/F$2*100</f>
        <v/>
      </c>
      <c r="H91" s="5">
        <f>AVERAGE(F62:F91)</f>
        <v/>
      </c>
      <c r="I91" s="5">
        <f>SLOPE(F$2:F$731,$A$2:$A$731)*$A91+INTERCEPT(F$2:F$731,$A$2:$A$731)</f>
        <v/>
      </c>
      <c r="J91" s="6" t="inlineStr">
        <is>
          <t>yes</t>
        </is>
      </c>
    </row>
    <row r="92">
      <c r="A92" s="2" t="n">
        <v>45382</v>
      </c>
      <c r="B92" s="3" t="n">
        <v>80.90000000000001</v>
      </c>
      <c r="C92" s="4">
        <f>B92/B$2*100</f>
        <v/>
      </c>
      <c r="D92" s="5">
        <f>AVERAGE(B63:B92)</f>
        <v/>
      </c>
      <c r="E92" s="5">
        <f>SLOPE(B$2:B$731,$A$2:$A$731)*$A92+INTERCEPT(B$2:B$731,$A$2:$A$731)</f>
        <v/>
      </c>
      <c r="F92" s="3" t="n">
        <v>0.79</v>
      </c>
      <c r="G92" s="4">
        <f>F92/F$2*100</f>
        <v/>
      </c>
      <c r="H92" s="5">
        <f>AVERAGE(F63:F92)</f>
        <v/>
      </c>
      <c r="I92" s="5">
        <f>SLOPE(F$2:F$731,$A$2:$A$731)*$A92+INTERCEPT(F$2:F$731,$A$2:$A$731)</f>
        <v/>
      </c>
      <c r="J92" s="6" t="inlineStr">
        <is>
          <t>yes</t>
        </is>
      </c>
    </row>
    <row r="93">
      <c r="A93" s="2" t="n">
        <v>45383</v>
      </c>
      <c r="B93" s="3" t="n">
        <v>80.91</v>
      </c>
      <c r="C93" s="4">
        <f>B93/B$2*100</f>
        <v/>
      </c>
      <c r="D93" s="5">
        <f>AVERAGE(B64:B93)</f>
        <v/>
      </c>
      <c r="E93" s="5">
        <f>SLOPE(B$2:B$731,$A$2:$A$731)*$A93+INTERCEPT(B$2:B$731,$A$2:$A$731)</f>
        <v/>
      </c>
      <c r="F93" s="3" t="n">
        <v>0.79</v>
      </c>
      <c r="G93" s="4">
        <f>F93/F$2*100</f>
        <v/>
      </c>
      <c r="H93" s="5">
        <f>AVERAGE(F64:F93)</f>
        <v/>
      </c>
      <c r="I93" s="5">
        <f>SLOPE(F$2:F$731,$A$2:$A$731)*$A93+INTERCEPT(F$2:F$731,$A$2:$A$731)</f>
        <v/>
      </c>
      <c r="J93" s="6" t="inlineStr"/>
    </row>
    <row r="94">
      <c r="A94" s="2" t="n">
        <v>45384</v>
      </c>
      <c r="B94" s="3" t="n">
        <v>80.92</v>
      </c>
      <c r="C94" s="4">
        <f>B94/B$2*100</f>
        <v/>
      </c>
      <c r="D94" s="5">
        <f>AVERAGE(B65:B94)</f>
        <v/>
      </c>
      <c r="E94" s="5">
        <f>SLOPE(B$2:B$731,$A$2:$A$731)*$A94+INTERCEPT(B$2:B$731,$A$2:$A$731)</f>
        <v/>
      </c>
      <c r="F94" s="3" t="n">
        <v>0.79</v>
      </c>
      <c r="G94" s="4">
        <f>F94/F$2*100</f>
        <v/>
      </c>
      <c r="H94" s="5">
        <f>AVERAGE(F65:F94)</f>
        <v/>
      </c>
      <c r="I94" s="5">
        <f>SLOPE(F$2:F$731,$A$2:$A$731)*$A94+INTERCEPT(F$2:F$731,$A$2:$A$731)</f>
        <v/>
      </c>
      <c r="J94" s="6" t="inlineStr"/>
    </row>
    <row r="95">
      <c r="A95" s="2" t="n">
        <v>45385</v>
      </c>
      <c r="B95" s="3" t="n">
        <v>80.93000000000001</v>
      </c>
      <c r="C95" s="4">
        <f>B95/B$2*100</f>
        <v/>
      </c>
      <c r="D95" s="5">
        <f>AVERAGE(B66:B95)</f>
        <v/>
      </c>
      <c r="E95" s="5">
        <f>SLOPE(B$2:B$731,$A$2:$A$731)*$A95+INTERCEPT(B$2:B$731,$A$2:$A$731)</f>
        <v/>
      </c>
      <c r="F95" s="3" t="n">
        <v>0.79</v>
      </c>
      <c r="G95" s="4">
        <f>F95/F$2*100</f>
        <v/>
      </c>
      <c r="H95" s="5">
        <f>AVERAGE(F66:F95)</f>
        <v/>
      </c>
      <c r="I95" s="5">
        <f>SLOPE(F$2:F$731,$A$2:$A$731)*$A95+INTERCEPT(F$2:F$731,$A$2:$A$731)</f>
        <v/>
      </c>
      <c r="J95" s="6" t="inlineStr"/>
    </row>
    <row r="96">
      <c r="A96" s="2" t="n">
        <v>45386</v>
      </c>
      <c r="B96" s="3" t="n">
        <v>80.94</v>
      </c>
      <c r="C96" s="4">
        <f>B96/B$2*100</f>
        <v/>
      </c>
      <c r="D96" s="5">
        <f>AVERAGE(B67:B96)</f>
        <v/>
      </c>
      <c r="E96" s="5">
        <f>SLOPE(B$2:B$731,$A$2:$A$731)*$A96+INTERCEPT(B$2:B$731,$A$2:$A$731)</f>
        <v/>
      </c>
      <c r="F96" s="3" t="n">
        <v>0.79</v>
      </c>
      <c r="G96" s="4">
        <f>F96/F$2*100</f>
        <v/>
      </c>
      <c r="H96" s="5">
        <f>AVERAGE(F67:F96)</f>
        <v/>
      </c>
      <c r="I96" s="5">
        <f>SLOPE(F$2:F$731,$A$2:$A$731)*$A96+INTERCEPT(F$2:F$731,$A$2:$A$731)</f>
        <v/>
      </c>
      <c r="J96" s="6" t="inlineStr"/>
    </row>
    <row r="97">
      <c r="A97" s="2" t="n">
        <v>45387</v>
      </c>
      <c r="B97" s="3" t="n">
        <v>80.95</v>
      </c>
      <c r="C97" s="4">
        <f>B97/B$2*100</f>
        <v/>
      </c>
      <c r="D97" s="5">
        <f>AVERAGE(B68:B97)</f>
        <v/>
      </c>
      <c r="E97" s="5">
        <f>SLOPE(B$2:B$731,$A$2:$A$731)*$A97+INTERCEPT(B$2:B$731,$A$2:$A$731)</f>
        <v/>
      </c>
      <c r="F97" s="3" t="n">
        <v>0.79</v>
      </c>
      <c r="G97" s="4">
        <f>F97/F$2*100</f>
        <v/>
      </c>
      <c r="H97" s="5">
        <f>AVERAGE(F68:F97)</f>
        <v/>
      </c>
      <c r="I97" s="5">
        <f>SLOPE(F$2:F$731,$A$2:$A$731)*$A97+INTERCEPT(F$2:F$731,$A$2:$A$731)</f>
        <v/>
      </c>
      <c r="J97" s="6" t="inlineStr"/>
    </row>
    <row r="98">
      <c r="A98" s="2" t="n">
        <v>45388</v>
      </c>
      <c r="B98" s="3" t="n">
        <v>80.95999999999999</v>
      </c>
      <c r="C98" s="4">
        <f>B98/B$2*100</f>
        <v/>
      </c>
      <c r="D98" s="5">
        <f>AVERAGE(B69:B98)</f>
        <v/>
      </c>
      <c r="E98" s="5">
        <f>SLOPE(B$2:B$731,$A$2:$A$731)*$A98+INTERCEPT(B$2:B$731,$A$2:$A$731)</f>
        <v/>
      </c>
      <c r="F98" s="3" t="n">
        <v>0.79</v>
      </c>
      <c r="G98" s="4">
        <f>F98/F$2*100</f>
        <v/>
      </c>
      <c r="H98" s="5">
        <f>AVERAGE(F69:F98)</f>
        <v/>
      </c>
      <c r="I98" s="5">
        <f>SLOPE(F$2:F$731,$A$2:$A$731)*$A98+INTERCEPT(F$2:F$731,$A$2:$A$731)</f>
        <v/>
      </c>
      <c r="J98" s="6" t="inlineStr">
        <is>
          <t>yes</t>
        </is>
      </c>
    </row>
    <row r="99">
      <c r="A99" s="2" t="n">
        <v>45389</v>
      </c>
      <c r="B99" s="3" t="n">
        <v>80.97</v>
      </c>
      <c r="C99" s="4">
        <f>B99/B$2*100</f>
        <v/>
      </c>
      <c r="D99" s="5">
        <f>AVERAGE(B70:B99)</f>
        <v/>
      </c>
      <c r="E99" s="5">
        <f>SLOPE(B$2:B$731,$A$2:$A$731)*$A99+INTERCEPT(B$2:B$731,$A$2:$A$731)</f>
        <v/>
      </c>
      <c r="F99" s="3" t="n">
        <v>0.79</v>
      </c>
      <c r="G99" s="4">
        <f>F99/F$2*100</f>
        <v/>
      </c>
      <c r="H99" s="5">
        <f>AVERAGE(F70:F99)</f>
        <v/>
      </c>
      <c r="I99" s="5">
        <f>SLOPE(F$2:F$731,$A$2:$A$731)*$A99+INTERCEPT(F$2:F$731,$A$2:$A$731)</f>
        <v/>
      </c>
      <c r="J99" s="6" t="inlineStr">
        <is>
          <t>yes</t>
        </is>
      </c>
    </row>
    <row r="100">
      <c r="A100" s="2" t="n">
        <v>45390</v>
      </c>
      <c r="B100" s="3" t="n">
        <v>80.98</v>
      </c>
      <c r="C100" s="4">
        <f>B100/B$2*100</f>
        <v/>
      </c>
      <c r="D100" s="5">
        <f>AVERAGE(B71:B100)</f>
        <v/>
      </c>
      <c r="E100" s="5">
        <f>SLOPE(B$2:B$731,$A$2:$A$731)*$A100+INTERCEPT(B$2:B$731,$A$2:$A$731)</f>
        <v/>
      </c>
      <c r="F100" s="3" t="n">
        <v>0.79</v>
      </c>
      <c r="G100" s="4">
        <f>F100/F$2*100</f>
        <v/>
      </c>
      <c r="H100" s="5">
        <f>AVERAGE(F71:F100)</f>
        <v/>
      </c>
      <c r="I100" s="5">
        <f>SLOPE(F$2:F$731,$A$2:$A$731)*$A100+INTERCEPT(F$2:F$731,$A$2:$A$731)</f>
        <v/>
      </c>
      <c r="J100" s="6" t="inlineStr"/>
    </row>
    <row r="101">
      <c r="A101" s="2" t="n">
        <v>45391</v>
      </c>
      <c r="B101" s="3" t="n">
        <v>80.98999999999999</v>
      </c>
      <c r="C101" s="4">
        <f>B101/B$2*100</f>
        <v/>
      </c>
      <c r="D101" s="5">
        <f>AVERAGE(B72:B101)</f>
        <v/>
      </c>
      <c r="E101" s="5">
        <f>SLOPE(B$2:B$731,$A$2:$A$731)*$A101+INTERCEPT(B$2:B$731,$A$2:$A$731)</f>
        <v/>
      </c>
      <c r="F101" s="3" t="n">
        <v>0.79</v>
      </c>
      <c r="G101" s="4">
        <f>F101/F$2*100</f>
        <v/>
      </c>
      <c r="H101" s="5">
        <f>AVERAGE(F72:F101)</f>
        <v/>
      </c>
      <c r="I101" s="5">
        <f>SLOPE(F$2:F$731,$A$2:$A$731)*$A101+INTERCEPT(F$2:F$731,$A$2:$A$731)</f>
        <v/>
      </c>
      <c r="J101" s="6" t="inlineStr"/>
    </row>
    <row r="102">
      <c r="A102" s="2" t="n">
        <v>45392</v>
      </c>
      <c r="B102" s="3" t="n">
        <v>81</v>
      </c>
      <c r="C102" s="4">
        <f>B102/B$2*100</f>
        <v/>
      </c>
      <c r="D102" s="5">
        <f>AVERAGE(B73:B102)</f>
        <v/>
      </c>
      <c r="E102" s="5">
        <f>SLOPE(B$2:B$731,$A$2:$A$731)*$A102+INTERCEPT(B$2:B$731,$A$2:$A$731)</f>
        <v/>
      </c>
      <c r="F102" s="3" t="n">
        <v>0.79</v>
      </c>
      <c r="G102" s="4">
        <f>F102/F$2*100</f>
        <v/>
      </c>
      <c r="H102" s="5">
        <f>AVERAGE(F73:F102)</f>
        <v/>
      </c>
      <c r="I102" s="5">
        <f>SLOPE(F$2:F$731,$A$2:$A$731)*$A102+INTERCEPT(F$2:F$731,$A$2:$A$731)</f>
        <v/>
      </c>
      <c r="J102" s="6" t="inlineStr"/>
    </row>
    <row r="103">
      <c r="A103" s="2" t="n">
        <v>45393</v>
      </c>
      <c r="B103" s="3" t="n">
        <v>81.01000000000001</v>
      </c>
      <c r="C103" s="4">
        <f>B103/B$2*100</f>
        <v/>
      </c>
      <c r="D103" s="5">
        <f>AVERAGE(B74:B103)</f>
        <v/>
      </c>
      <c r="E103" s="5">
        <f>SLOPE(B$2:B$731,$A$2:$A$731)*$A103+INTERCEPT(B$2:B$731,$A$2:$A$731)</f>
        <v/>
      </c>
      <c r="F103" s="3" t="n">
        <v>0.79</v>
      </c>
      <c r="G103" s="4">
        <f>F103/F$2*100</f>
        <v/>
      </c>
      <c r="H103" s="5">
        <f>AVERAGE(F74:F103)</f>
        <v/>
      </c>
      <c r="I103" s="5">
        <f>SLOPE(F$2:F$731,$A$2:$A$731)*$A103+INTERCEPT(F$2:F$731,$A$2:$A$731)</f>
        <v/>
      </c>
      <c r="J103" s="6" t="inlineStr"/>
    </row>
    <row r="104">
      <c r="A104" s="2" t="n">
        <v>45394</v>
      </c>
      <c r="B104" s="3" t="n">
        <v>81.02</v>
      </c>
      <c r="C104" s="4">
        <f>B104/B$2*100</f>
        <v/>
      </c>
      <c r="D104" s="5">
        <f>AVERAGE(B75:B104)</f>
        <v/>
      </c>
      <c r="E104" s="5">
        <f>SLOPE(B$2:B$731,$A$2:$A$731)*$A104+INTERCEPT(B$2:B$731,$A$2:$A$731)</f>
        <v/>
      </c>
      <c r="F104" s="3" t="n">
        <v>0.79</v>
      </c>
      <c r="G104" s="4">
        <f>F104/F$2*100</f>
        <v/>
      </c>
      <c r="H104" s="5">
        <f>AVERAGE(F75:F104)</f>
        <v/>
      </c>
      <c r="I104" s="5">
        <f>SLOPE(F$2:F$731,$A$2:$A$731)*$A104+INTERCEPT(F$2:F$731,$A$2:$A$731)</f>
        <v/>
      </c>
      <c r="J104" s="6" t="inlineStr"/>
    </row>
    <row r="105">
      <c r="A105" s="2" t="n">
        <v>45395</v>
      </c>
      <c r="B105" s="3" t="n">
        <v>81.03</v>
      </c>
      <c r="C105" s="4">
        <f>B105/B$2*100</f>
        <v/>
      </c>
      <c r="D105" s="5">
        <f>AVERAGE(B76:B105)</f>
        <v/>
      </c>
      <c r="E105" s="5">
        <f>SLOPE(B$2:B$731,$A$2:$A$731)*$A105+INTERCEPT(B$2:B$731,$A$2:$A$731)</f>
        <v/>
      </c>
      <c r="F105" s="3" t="n">
        <v>0.79</v>
      </c>
      <c r="G105" s="4">
        <f>F105/F$2*100</f>
        <v/>
      </c>
      <c r="H105" s="5">
        <f>AVERAGE(F76:F105)</f>
        <v/>
      </c>
      <c r="I105" s="5">
        <f>SLOPE(F$2:F$731,$A$2:$A$731)*$A105+INTERCEPT(F$2:F$731,$A$2:$A$731)</f>
        <v/>
      </c>
      <c r="J105" s="6" t="inlineStr">
        <is>
          <t>yes</t>
        </is>
      </c>
    </row>
    <row r="106">
      <c r="A106" s="2" t="n">
        <v>45396</v>
      </c>
      <c r="B106" s="3" t="n">
        <v>81.04000000000001</v>
      </c>
      <c r="C106" s="4">
        <f>B106/B$2*100</f>
        <v/>
      </c>
      <c r="D106" s="5">
        <f>AVERAGE(B77:B106)</f>
        <v/>
      </c>
      <c r="E106" s="5">
        <f>SLOPE(B$2:B$731,$A$2:$A$731)*$A106+INTERCEPT(B$2:B$731,$A$2:$A$731)</f>
        <v/>
      </c>
      <c r="F106" s="3" t="n">
        <v>0.79</v>
      </c>
      <c r="G106" s="4">
        <f>F106/F$2*100</f>
        <v/>
      </c>
      <c r="H106" s="5">
        <f>AVERAGE(F77:F106)</f>
        <v/>
      </c>
      <c r="I106" s="5">
        <f>SLOPE(F$2:F$731,$A$2:$A$731)*$A106+INTERCEPT(F$2:F$731,$A$2:$A$731)</f>
        <v/>
      </c>
      <c r="J106" s="6" t="inlineStr">
        <is>
          <t>yes</t>
        </is>
      </c>
    </row>
    <row r="107">
      <c r="A107" s="2" t="n">
        <v>45397</v>
      </c>
      <c r="B107" s="3" t="n">
        <v>81.05</v>
      </c>
      <c r="C107" s="4">
        <f>B107/B$2*100</f>
        <v/>
      </c>
      <c r="D107" s="5">
        <f>AVERAGE(B78:B107)</f>
        <v/>
      </c>
      <c r="E107" s="5">
        <f>SLOPE(B$2:B$731,$A$2:$A$731)*$A107+INTERCEPT(B$2:B$731,$A$2:$A$731)</f>
        <v/>
      </c>
      <c r="F107" s="3" t="n">
        <v>0.79</v>
      </c>
      <c r="G107" s="4">
        <f>F107/F$2*100</f>
        <v/>
      </c>
      <c r="H107" s="5">
        <f>AVERAGE(F78:F107)</f>
        <v/>
      </c>
      <c r="I107" s="5">
        <f>SLOPE(F$2:F$731,$A$2:$A$731)*$A107+INTERCEPT(F$2:F$731,$A$2:$A$731)</f>
        <v/>
      </c>
      <c r="J107" s="6" t="inlineStr"/>
    </row>
    <row r="108">
      <c r="A108" s="2" t="n">
        <v>45398</v>
      </c>
      <c r="B108" s="3" t="n">
        <v>81.06</v>
      </c>
      <c r="C108" s="4">
        <f>B108/B$2*100</f>
        <v/>
      </c>
      <c r="D108" s="5">
        <f>AVERAGE(B79:B108)</f>
        <v/>
      </c>
      <c r="E108" s="5">
        <f>SLOPE(B$2:B$731,$A$2:$A$731)*$A108+INTERCEPT(B$2:B$731,$A$2:$A$731)</f>
        <v/>
      </c>
      <c r="F108" s="3" t="n">
        <v>0.79</v>
      </c>
      <c r="G108" s="4">
        <f>F108/F$2*100</f>
        <v/>
      </c>
      <c r="H108" s="5">
        <f>AVERAGE(F79:F108)</f>
        <v/>
      </c>
      <c r="I108" s="5">
        <f>SLOPE(F$2:F$731,$A$2:$A$731)*$A108+INTERCEPT(F$2:F$731,$A$2:$A$731)</f>
        <v/>
      </c>
      <c r="J108" s="6" t="inlineStr"/>
    </row>
    <row r="109">
      <c r="A109" s="2" t="n">
        <v>45399</v>
      </c>
      <c r="B109" s="3" t="n">
        <v>81.06999999999999</v>
      </c>
      <c r="C109" s="4">
        <f>B109/B$2*100</f>
        <v/>
      </c>
      <c r="D109" s="5">
        <f>AVERAGE(B80:B109)</f>
        <v/>
      </c>
      <c r="E109" s="5">
        <f>SLOPE(B$2:B$731,$A$2:$A$731)*$A109+INTERCEPT(B$2:B$731,$A$2:$A$731)</f>
        <v/>
      </c>
      <c r="F109" s="3" t="n">
        <v>0.79</v>
      </c>
      <c r="G109" s="4">
        <f>F109/F$2*100</f>
        <v/>
      </c>
      <c r="H109" s="5">
        <f>AVERAGE(F80:F109)</f>
        <v/>
      </c>
      <c r="I109" s="5">
        <f>SLOPE(F$2:F$731,$A$2:$A$731)*$A109+INTERCEPT(F$2:F$731,$A$2:$A$731)</f>
        <v/>
      </c>
      <c r="J109" s="6" t="inlineStr"/>
    </row>
    <row r="110">
      <c r="A110" s="2" t="n">
        <v>45400</v>
      </c>
      <c r="B110" s="3" t="n">
        <v>81.08</v>
      </c>
      <c r="C110" s="4">
        <f>B110/B$2*100</f>
        <v/>
      </c>
      <c r="D110" s="5">
        <f>AVERAGE(B81:B110)</f>
        <v/>
      </c>
      <c r="E110" s="5">
        <f>SLOPE(B$2:B$731,$A$2:$A$731)*$A110+INTERCEPT(B$2:B$731,$A$2:$A$731)</f>
        <v/>
      </c>
      <c r="F110" s="3" t="n">
        <v>0.79</v>
      </c>
      <c r="G110" s="4">
        <f>F110/F$2*100</f>
        <v/>
      </c>
      <c r="H110" s="5">
        <f>AVERAGE(F81:F110)</f>
        <v/>
      </c>
      <c r="I110" s="5">
        <f>SLOPE(F$2:F$731,$A$2:$A$731)*$A110+INTERCEPT(F$2:F$731,$A$2:$A$731)</f>
        <v/>
      </c>
      <c r="J110" s="6" t="inlineStr"/>
    </row>
    <row r="111">
      <c r="A111" s="2" t="n">
        <v>45401</v>
      </c>
      <c r="B111" s="3" t="n">
        <v>81.09</v>
      </c>
      <c r="C111" s="4">
        <f>B111/B$2*100</f>
        <v/>
      </c>
      <c r="D111" s="5">
        <f>AVERAGE(B82:B111)</f>
        <v/>
      </c>
      <c r="E111" s="5">
        <f>SLOPE(B$2:B$731,$A$2:$A$731)*$A111+INTERCEPT(B$2:B$731,$A$2:$A$731)</f>
        <v/>
      </c>
      <c r="F111" s="3" t="n">
        <v>0.79</v>
      </c>
      <c r="G111" s="4">
        <f>F111/F$2*100</f>
        <v/>
      </c>
      <c r="H111" s="5">
        <f>AVERAGE(F82:F111)</f>
        <v/>
      </c>
      <c r="I111" s="5">
        <f>SLOPE(F$2:F$731,$A$2:$A$731)*$A111+INTERCEPT(F$2:F$731,$A$2:$A$731)</f>
        <v/>
      </c>
      <c r="J111" s="6" t="inlineStr"/>
    </row>
    <row r="112">
      <c r="A112" s="2" t="n">
        <v>45402</v>
      </c>
      <c r="B112" s="3" t="n">
        <v>81.09999999999999</v>
      </c>
      <c r="C112" s="4">
        <f>B112/B$2*100</f>
        <v/>
      </c>
      <c r="D112" s="5">
        <f>AVERAGE(B83:B112)</f>
        <v/>
      </c>
      <c r="E112" s="5">
        <f>SLOPE(B$2:B$731,$A$2:$A$731)*$A112+INTERCEPT(B$2:B$731,$A$2:$A$731)</f>
        <v/>
      </c>
      <c r="F112" s="3" t="n">
        <v>0.79</v>
      </c>
      <c r="G112" s="4">
        <f>F112/F$2*100</f>
        <v/>
      </c>
      <c r="H112" s="5">
        <f>AVERAGE(F83:F112)</f>
        <v/>
      </c>
      <c r="I112" s="5">
        <f>SLOPE(F$2:F$731,$A$2:$A$731)*$A112+INTERCEPT(F$2:F$731,$A$2:$A$731)</f>
        <v/>
      </c>
      <c r="J112" s="6" t="inlineStr">
        <is>
          <t>yes</t>
        </is>
      </c>
    </row>
    <row r="113">
      <c r="A113" s="2" t="n">
        <v>45403</v>
      </c>
      <c r="B113" s="3" t="n">
        <v>81.11</v>
      </c>
      <c r="C113" s="4">
        <f>B113/B$2*100</f>
        <v/>
      </c>
      <c r="D113" s="5">
        <f>AVERAGE(B84:B113)</f>
        <v/>
      </c>
      <c r="E113" s="5">
        <f>SLOPE(B$2:B$731,$A$2:$A$731)*$A113+INTERCEPT(B$2:B$731,$A$2:$A$731)</f>
        <v/>
      </c>
      <c r="F113" s="3" t="n">
        <v>0.79</v>
      </c>
      <c r="G113" s="4">
        <f>F113/F$2*100</f>
        <v/>
      </c>
      <c r="H113" s="5">
        <f>AVERAGE(F84:F113)</f>
        <v/>
      </c>
      <c r="I113" s="5">
        <f>SLOPE(F$2:F$731,$A$2:$A$731)*$A113+INTERCEPT(F$2:F$731,$A$2:$A$731)</f>
        <v/>
      </c>
      <c r="J113" s="6" t="inlineStr">
        <is>
          <t>yes</t>
        </is>
      </c>
    </row>
    <row r="114">
      <c r="A114" s="2" t="n">
        <v>45404</v>
      </c>
      <c r="B114" s="3" t="n">
        <v>81.12</v>
      </c>
      <c r="C114" s="4">
        <f>B114/B$2*100</f>
        <v/>
      </c>
      <c r="D114" s="5">
        <f>AVERAGE(B85:B114)</f>
        <v/>
      </c>
      <c r="E114" s="5">
        <f>SLOPE(B$2:B$731,$A$2:$A$731)*$A114+INTERCEPT(B$2:B$731,$A$2:$A$731)</f>
        <v/>
      </c>
      <c r="F114" s="3" t="n">
        <v>0.79</v>
      </c>
      <c r="G114" s="4">
        <f>F114/F$2*100</f>
        <v/>
      </c>
      <c r="H114" s="5">
        <f>AVERAGE(F85:F114)</f>
        <v/>
      </c>
      <c r="I114" s="5">
        <f>SLOPE(F$2:F$731,$A$2:$A$731)*$A114+INTERCEPT(F$2:F$731,$A$2:$A$731)</f>
        <v/>
      </c>
      <c r="J114" s="6" t="inlineStr"/>
    </row>
    <row r="115">
      <c r="A115" s="2" t="n">
        <v>45405</v>
      </c>
      <c r="B115" s="3" t="n">
        <v>81.13</v>
      </c>
      <c r="C115" s="4">
        <f>B115/B$2*100</f>
        <v/>
      </c>
      <c r="D115" s="5">
        <f>AVERAGE(B86:B115)</f>
        <v/>
      </c>
      <c r="E115" s="5">
        <f>SLOPE(B$2:B$731,$A$2:$A$731)*$A115+INTERCEPT(B$2:B$731,$A$2:$A$731)</f>
        <v/>
      </c>
      <c r="F115" s="3" t="n">
        <v>0.79</v>
      </c>
      <c r="G115" s="4">
        <f>F115/F$2*100</f>
        <v/>
      </c>
      <c r="H115" s="5">
        <f>AVERAGE(F86:F115)</f>
        <v/>
      </c>
      <c r="I115" s="5">
        <f>SLOPE(F$2:F$731,$A$2:$A$731)*$A115+INTERCEPT(F$2:F$731,$A$2:$A$731)</f>
        <v/>
      </c>
      <c r="J115" s="6" t="inlineStr"/>
    </row>
    <row r="116">
      <c r="A116" s="2" t="n">
        <v>45406</v>
      </c>
      <c r="B116" s="3" t="n">
        <v>81.14</v>
      </c>
      <c r="C116" s="4">
        <f>B116/B$2*100</f>
        <v/>
      </c>
      <c r="D116" s="5">
        <f>AVERAGE(B87:B116)</f>
        <v/>
      </c>
      <c r="E116" s="5">
        <f>SLOPE(B$2:B$731,$A$2:$A$731)*$A116+INTERCEPT(B$2:B$731,$A$2:$A$731)</f>
        <v/>
      </c>
      <c r="F116" s="3" t="n">
        <v>0.79</v>
      </c>
      <c r="G116" s="4">
        <f>F116/F$2*100</f>
        <v/>
      </c>
      <c r="H116" s="5">
        <f>AVERAGE(F87:F116)</f>
        <v/>
      </c>
      <c r="I116" s="5">
        <f>SLOPE(F$2:F$731,$A$2:$A$731)*$A116+INTERCEPT(F$2:F$731,$A$2:$A$731)</f>
        <v/>
      </c>
      <c r="J116" s="6" t="inlineStr"/>
    </row>
    <row r="117">
      <c r="A117" s="2" t="n">
        <v>45407</v>
      </c>
      <c r="B117" s="3" t="n">
        <v>81.15000000000001</v>
      </c>
      <c r="C117" s="4">
        <f>B117/B$2*100</f>
        <v/>
      </c>
      <c r="D117" s="5">
        <f>AVERAGE(B88:B117)</f>
        <v/>
      </c>
      <c r="E117" s="5">
        <f>SLOPE(B$2:B$731,$A$2:$A$731)*$A117+INTERCEPT(B$2:B$731,$A$2:$A$731)</f>
        <v/>
      </c>
      <c r="F117" s="3" t="n">
        <v>0.79</v>
      </c>
      <c r="G117" s="4">
        <f>F117/F$2*100</f>
        <v/>
      </c>
      <c r="H117" s="5">
        <f>AVERAGE(F88:F117)</f>
        <v/>
      </c>
      <c r="I117" s="5">
        <f>SLOPE(F$2:F$731,$A$2:$A$731)*$A117+INTERCEPT(F$2:F$731,$A$2:$A$731)</f>
        <v/>
      </c>
      <c r="J117" s="6" t="inlineStr"/>
    </row>
    <row r="118">
      <c r="A118" s="2" t="n">
        <v>45408</v>
      </c>
      <c r="B118" s="3" t="n">
        <v>81.16</v>
      </c>
      <c r="C118" s="4">
        <f>B118/B$2*100</f>
        <v/>
      </c>
      <c r="D118" s="5">
        <f>AVERAGE(B89:B118)</f>
        <v/>
      </c>
      <c r="E118" s="5">
        <f>SLOPE(B$2:B$731,$A$2:$A$731)*$A118+INTERCEPT(B$2:B$731,$A$2:$A$731)</f>
        <v/>
      </c>
      <c r="F118" s="3" t="n">
        <v>0.79</v>
      </c>
      <c r="G118" s="4">
        <f>F118/F$2*100</f>
        <v/>
      </c>
      <c r="H118" s="5">
        <f>AVERAGE(F89:F118)</f>
        <v/>
      </c>
      <c r="I118" s="5">
        <f>SLOPE(F$2:F$731,$A$2:$A$731)*$A118+INTERCEPT(F$2:F$731,$A$2:$A$731)</f>
        <v/>
      </c>
      <c r="J118" s="6" t="inlineStr"/>
    </row>
    <row r="119">
      <c r="A119" s="2" t="n">
        <v>45409</v>
      </c>
      <c r="B119" s="3" t="n">
        <v>81.17</v>
      </c>
      <c r="C119" s="4">
        <f>B119/B$2*100</f>
        <v/>
      </c>
      <c r="D119" s="5">
        <f>AVERAGE(B90:B119)</f>
        <v/>
      </c>
      <c r="E119" s="5">
        <f>SLOPE(B$2:B$731,$A$2:$A$731)*$A119+INTERCEPT(B$2:B$731,$A$2:$A$731)</f>
        <v/>
      </c>
      <c r="F119" s="3" t="n">
        <v>0.79</v>
      </c>
      <c r="G119" s="4">
        <f>F119/F$2*100</f>
        <v/>
      </c>
      <c r="H119" s="5">
        <f>AVERAGE(F90:F119)</f>
        <v/>
      </c>
      <c r="I119" s="5">
        <f>SLOPE(F$2:F$731,$A$2:$A$731)*$A119+INTERCEPT(F$2:F$731,$A$2:$A$731)</f>
        <v/>
      </c>
      <c r="J119" s="6" t="inlineStr">
        <is>
          <t>yes</t>
        </is>
      </c>
    </row>
    <row r="120">
      <c r="A120" s="2" t="n">
        <v>45410</v>
      </c>
      <c r="B120" s="3" t="n">
        <v>81.18000000000001</v>
      </c>
      <c r="C120" s="4">
        <f>B120/B$2*100</f>
        <v/>
      </c>
      <c r="D120" s="5">
        <f>AVERAGE(B91:B120)</f>
        <v/>
      </c>
      <c r="E120" s="5">
        <f>SLOPE(B$2:B$731,$A$2:$A$731)*$A120+INTERCEPT(B$2:B$731,$A$2:$A$731)</f>
        <v/>
      </c>
      <c r="F120" s="3" t="n">
        <v>0.79</v>
      </c>
      <c r="G120" s="4">
        <f>F120/F$2*100</f>
        <v/>
      </c>
      <c r="H120" s="5">
        <f>AVERAGE(F91:F120)</f>
        <v/>
      </c>
      <c r="I120" s="5">
        <f>SLOPE(F$2:F$731,$A$2:$A$731)*$A120+INTERCEPT(F$2:F$731,$A$2:$A$731)</f>
        <v/>
      </c>
      <c r="J120" s="6" t="inlineStr">
        <is>
          <t>yes</t>
        </is>
      </c>
    </row>
    <row r="121">
      <c r="A121" s="2" t="n">
        <v>45411</v>
      </c>
      <c r="B121" s="3" t="n">
        <v>81.19</v>
      </c>
      <c r="C121" s="4">
        <f>B121/B$2*100</f>
        <v/>
      </c>
      <c r="D121" s="5">
        <f>AVERAGE(B92:B121)</f>
        <v/>
      </c>
      <c r="E121" s="5">
        <f>SLOPE(B$2:B$731,$A$2:$A$731)*$A121+INTERCEPT(B$2:B$731,$A$2:$A$731)</f>
        <v/>
      </c>
      <c r="F121" s="3" t="n">
        <v>0.79</v>
      </c>
      <c r="G121" s="4">
        <f>F121/F$2*100</f>
        <v/>
      </c>
      <c r="H121" s="5">
        <f>AVERAGE(F92:F121)</f>
        <v/>
      </c>
      <c r="I121" s="5">
        <f>SLOPE(F$2:F$731,$A$2:$A$731)*$A121+INTERCEPT(F$2:F$731,$A$2:$A$731)</f>
        <v/>
      </c>
      <c r="J121" s="6" t="inlineStr"/>
    </row>
    <row r="122">
      <c r="A122" s="2" t="n">
        <v>45412</v>
      </c>
      <c r="B122" s="3" t="n">
        <v>81.2</v>
      </c>
      <c r="C122" s="4">
        <f>B122/B$2*100</f>
        <v/>
      </c>
      <c r="D122" s="5">
        <f>AVERAGE(B93:B122)</f>
        <v/>
      </c>
      <c r="E122" s="5">
        <f>SLOPE(B$2:B$731,$A$2:$A$731)*$A122+INTERCEPT(B$2:B$731,$A$2:$A$731)</f>
        <v/>
      </c>
      <c r="F122" s="3" t="n">
        <v>0.79</v>
      </c>
      <c r="G122" s="4">
        <f>F122/F$2*100</f>
        <v/>
      </c>
      <c r="H122" s="5">
        <f>AVERAGE(F93:F122)</f>
        <v/>
      </c>
      <c r="I122" s="5">
        <f>SLOPE(F$2:F$731,$A$2:$A$731)*$A122+INTERCEPT(F$2:F$731,$A$2:$A$731)</f>
        <v/>
      </c>
      <c r="J122" s="6" t="inlineStr"/>
    </row>
    <row r="123">
      <c r="A123" s="2" t="n">
        <v>45413</v>
      </c>
      <c r="B123" s="3" t="n">
        <v>81.20999999999999</v>
      </c>
      <c r="C123" s="4">
        <f>B123/B$2*100</f>
        <v/>
      </c>
      <c r="D123" s="5">
        <f>AVERAGE(B94:B123)</f>
        <v/>
      </c>
      <c r="E123" s="5">
        <f>SLOPE(B$2:B$731,$A$2:$A$731)*$A123+INTERCEPT(B$2:B$731,$A$2:$A$731)</f>
        <v/>
      </c>
      <c r="F123" s="3" t="n">
        <v>0.79</v>
      </c>
      <c r="G123" s="4">
        <f>F123/F$2*100</f>
        <v/>
      </c>
      <c r="H123" s="5">
        <f>AVERAGE(F94:F123)</f>
        <v/>
      </c>
      <c r="I123" s="5">
        <f>SLOPE(F$2:F$731,$A$2:$A$731)*$A123+INTERCEPT(F$2:F$731,$A$2:$A$731)</f>
        <v/>
      </c>
      <c r="J123" s="6" t="inlineStr"/>
    </row>
    <row r="124">
      <c r="A124" s="2" t="n">
        <v>45414</v>
      </c>
      <c r="B124" s="3" t="n">
        <v>81.22</v>
      </c>
      <c r="C124" s="4">
        <f>B124/B$2*100</f>
        <v/>
      </c>
      <c r="D124" s="5">
        <f>AVERAGE(B95:B124)</f>
        <v/>
      </c>
      <c r="E124" s="5">
        <f>SLOPE(B$2:B$731,$A$2:$A$731)*$A124+INTERCEPT(B$2:B$731,$A$2:$A$731)</f>
        <v/>
      </c>
      <c r="F124" s="3" t="n">
        <v>0.79</v>
      </c>
      <c r="G124" s="4">
        <f>F124/F$2*100</f>
        <v/>
      </c>
      <c r="H124" s="5">
        <f>AVERAGE(F95:F124)</f>
        <v/>
      </c>
      <c r="I124" s="5">
        <f>SLOPE(F$2:F$731,$A$2:$A$731)*$A124+INTERCEPT(F$2:F$731,$A$2:$A$731)</f>
        <v/>
      </c>
      <c r="J124" s="6" t="inlineStr"/>
    </row>
    <row r="125">
      <c r="A125" s="2" t="n">
        <v>45415</v>
      </c>
      <c r="B125" s="3" t="n">
        <v>81.23</v>
      </c>
      <c r="C125" s="4">
        <f>B125/B$2*100</f>
        <v/>
      </c>
      <c r="D125" s="5">
        <f>AVERAGE(B96:B125)</f>
        <v/>
      </c>
      <c r="E125" s="5">
        <f>SLOPE(B$2:B$731,$A$2:$A$731)*$A125+INTERCEPT(B$2:B$731,$A$2:$A$731)</f>
        <v/>
      </c>
      <c r="F125" s="3" t="n">
        <v>0.79</v>
      </c>
      <c r="G125" s="4">
        <f>F125/F$2*100</f>
        <v/>
      </c>
      <c r="H125" s="5">
        <f>AVERAGE(F96:F125)</f>
        <v/>
      </c>
      <c r="I125" s="5">
        <f>SLOPE(F$2:F$731,$A$2:$A$731)*$A125+INTERCEPT(F$2:F$731,$A$2:$A$731)</f>
        <v/>
      </c>
      <c r="J125" s="6" t="inlineStr"/>
    </row>
    <row r="126">
      <c r="A126" s="2" t="n">
        <v>45416</v>
      </c>
      <c r="B126" s="3" t="n">
        <v>81.23999999999999</v>
      </c>
      <c r="C126" s="4">
        <f>B126/B$2*100</f>
        <v/>
      </c>
      <c r="D126" s="5">
        <f>AVERAGE(B97:B126)</f>
        <v/>
      </c>
      <c r="E126" s="5">
        <f>SLOPE(B$2:B$731,$A$2:$A$731)*$A126+INTERCEPT(B$2:B$731,$A$2:$A$731)</f>
        <v/>
      </c>
      <c r="F126" s="3" t="n">
        <v>0.79</v>
      </c>
      <c r="G126" s="4">
        <f>F126/F$2*100</f>
        <v/>
      </c>
      <c r="H126" s="5">
        <f>AVERAGE(F97:F126)</f>
        <v/>
      </c>
      <c r="I126" s="5">
        <f>SLOPE(F$2:F$731,$A$2:$A$731)*$A126+INTERCEPT(F$2:F$731,$A$2:$A$731)</f>
        <v/>
      </c>
      <c r="J126" s="6" t="inlineStr">
        <is>
          <t>yes</t>
        </is>
      </c>
    </row>
    <row r="127">
      <c r="A127" s="2" t="n">
        <v>45417</v>
      </c>
      <c r="B127" s="3" t="n">
        <v>81.25</v>
      </c>
      <c r="C127" s="4">
        <f>B127/B$2*100</f>
        <v/>
      </c>
      <c r="D127" s="5">
        <f>AVERAGE(B98:B127)</f>
        <v/>
      </c>
      <c r="E127" s="5">
        <f>SLOPE(B$2:B$731,$A$2:$A$731)*$A127+INTERCEPT(B$2:B$731,$A$2:$A$731)</f>
        <v/>
      </c>
      <c r="F127" s="3" t="n">
        <v>0.79</v>
      </c>
      <c r="G127" s="4">
        <f>F127/F$2*100</f>
        <v/>
      </c>
      <c r="H127" s="5">
        <f>AVERAGE(F98:F127)</f>
        <v/>
      </c>
      <c r="I127" s="5">
        <f>SLOPE(F$2:F$731,$A$2:$A$731)*$A127+INTERCEPT(F$2:F$731,$A$2:$A$731)</f>
        <v/>
      </c>
      <c r="J127" s="6" t="inlineStr">
        <is>
          <t>yes</t>
        </is>
      </c>
    </row>
    <row r="128">
      <c r="A128" s="2" t="n">
        <v>45418</v>
      </c>
      <c r="B128" s="3" t="n">
        <v>81.26000000000001</v>
      </c>
      <c r="C128" s="4">
        <f>B128/B$2*100</f>
        <v/>
      </c>
      <c r="D128" s="5">
        <f>AVERAGE(B99:B128)</f>
        <v/>
      </c>
      <c r="E128" s="5">
        <f>SLOPE(B$2:B$731,$A$2:$A$731)*$A128+INTERCEPT(B$2:B$731,$A$2:$A$731)</f>
        <v/>
      </c>
      <c r="F128" s="3" t="n">
        <v>0.79</v>
      </c>
      <c r="G128" s="4">
        <f>F128/F$2*100</f>
        <v/>
      </c>
      <c r="H128" s="5">
        <f>AVERAGE(F99:F128)</f>
        <v/>
      </c>
      <c r="I128" s="5">
        <f>SLOPE(F$2:F$731,$A$2:$A$731)*$A128+INTERCEPT(F$2:F$731,$A$2:$A$731)</f>
        <v/>
      </c>
      <c r="J128" s="6" t="inlineStr"/>
    </row>
    <row r="129">
      <c r="A129" s="2" t="n">
        <v>45419</v>
      </c>
      <c r="B129" s="3" t="n">
        <v>81.27</v>
      </c>
      <c r="C129" s="4">
        <f>B129/B$2*100</f>
        <v/>
      </c>
      <c r="D129" s="5">
        <f>AVERAGE(B100:B129)</f>
        <v/>
      </c>
      <c r="E129" s="5">
        <f>SLOPE(B$2:B$731,$A$2:$A$731)*$A129+INTERCEPT(B$2:B$731,$A$2:$A$731)</f>
        <v/>
      </c>
      <c r="F129" s="3" t="n">
        <v>0.79</v>
      </c>
      <c r="G129" s="4">
        <f>F129/F$2*100</f>
        <v/>
      </c>
      <c r="H129" s="5">
        <f>AVERAGE(F100:F129)</f>
        <v/>
      </c>
      <c r="I129" s="5">
        <f>SLOPE(F$2:F$731,$A$2:$A$731)*$A129+INTERCEPT(F$2:F$731,$A$2:$A$731)</f>
        <v/>
      </c>
      <c r="J129" s="6" t="inlineStr"/>
    </row>
    <row r="130">
      <c r="A130" s="2" t="n">
        <v>45420</v>
      </c>
      <c r="B130" s="3" t="n">
        <v>81.28</v>
      </c>
      <c r="C130" s="4">
        <f>B130/B$2*100</f>
        <v/>
      </c>
      <c r="D130" s="5">
        <f>AVERAGE(B101:B130)</f>
        <v/>
      </c>
      <c r="E130" s="5">
        <f>SLOPE(B$2:B$731,$A$2:$A$731)*$A130+INTERCEPT(B$2:B$731,$A$2:$A$731)</f>
        <v/>
      </c>
      <c r="F130" s="3" t="n">
        <v>0.79</v>
      </c>
      <c r="G130" s="4">
        <f>F130/F$2*100</f>
        <v/>
      </c>
      <c r="H130" s="5">
        <f>AVERAGE(F101:F130)</f>
        <v/>
      </c>
      <c r="I130" s="5">
        <f>SLOPE(F$2:F$731,$A$2:$A$731)*$A130+INTERCEPT(F$2:F$731,$A$2:$A$731)</f>
        <v/>
      </c>
      <c r="J130" s="6" t="inlineStr"/>
    </row>
    <row r="131">
      <c r="A131" s="2" t="n">
        <v>45421</v>
      </c>
      <c r="B131" s="3" t="n">
        <v>81.29000000000001</v>
      </c>
      <c r="C131" s="4">
        <f>B131/B$2*100</f>
        <v/>
      </c>
      <c r="D131" s="5">
        <f>AVERAGE(B102:B131)</f>
        <v/>
      </c>
      <c r="E131" s="5">
        <f>SLOPE(B$2:B$731,$A$2:$A$731)*$A131+INTERCEPT(B$2:B$731,$A$2:$A$731)</f>
        <v/>
      </c>
      <c r="F131" s="3" t="n">
        <v>0.79</v>
      </c>
      <c r="G131" s="4">
        <f>F131/F$2*100</f>
        <v/>
      </c>
      <c r="H131" s="5">
        <f>AVERAGE(F102:F131)</f>
        <v/>
      </c>
      <c r="I131" s="5">
        <f>SLOPE(F$2:F$731,$A$2:$A$731)*$A131+INTERCEPT(F$2:F$731,$A$2:$A$731)</f>
        <v/>
      </c>
      <c r="J131" s="6" t="inlineStr"/>
    </row>
    <row r="132">
      <c r="A132" s="2" t="n">
        <v>45422</v>
      </c>
      <c r="B132" s="3" t="n">
        <v>81.3</v>
      </c>
      <c r="C132" s="4">
        <f>B132/B$2*100</f>
        <v/>
      </c>
      <c r="D132" s="5">
        <f>AVERAGE(B103:B132)</f>
        <v/>
      </c>
      <c r="E132" s="5">
        <f>SLOPE(B$2:B$731,$A$2:$A$731)*$A132+INTERCEPT(B$2:B$731,$A$2:$A$731)</f>
        <v/>
      </c>
      <c r="F132" s="3" t="n">
        <v>0.79</v>
      </c>
      <c r="G132" s="4">
        <f>F132/F$2*100</f>
        <v/>
      </c>
      <c r="H132" s="5">
        <f>AVERAGE(F103:F132)</f>
        <v/>
      </c>
      <c r="I132" s="5">
        <f>SLOPE(F$2:F$731,$A$2:$A$731)*$A132+INTERCEPT(F$2:F$731,$A$2:$A$731)</f>
        <v/>
      </c>
      <c r="J132" s="6" t="inlineStr"/>
    </row>
    <row r="133">
      <c r="A133" s="2" t="n">
        <v>45423</v>
      </c>
      <c r="B133" s="3" t="n">
        <v>81.31</v>
      </c>
      <c r="C133" s="4">
        <f>B133/B$2*100</f>
        <v/>
      </c>
      <c r="D133" s="5">
        <f>AVERAGE(B104:B133)</f>
        <v/>
      </c>
      <c r="E133" s="5">
        <f>SLOPE(B$2:B$731,$A$2:$A$731)*$A133+INTERCEPT(B$2:B$731,$A$2:$A$731)</f>
        <v/>
      </c>
      <c r="F133" s="3" t="n">
        <v>0.79</v>
      </c>
      <c r="G133" s="4">
        <f>F133/F$2*100</f>
        <v/>
      </c>
      <c r="H133" s="5">
        <f>AVERAGE(F104:F133)</f>
        <v/>
      </c>
      <c r="I133" s="5">
        <f>SLOPE(F$2:F$731,$A$2:$A$731)*$A133+INTERCEPT(F$2:F$731,$A$2:$A$731)</f>
        <v/>
      </c>
      <c r="J133" s="6" t="inlineStr">
        <is>
          <t>yes</t>
        </is>
      </c>
    </row>
    <row r="134">
      <c r="A134" s="2" t="n">
        <v>45424</v>
      </c>
      <c r="B134" s="3" t="n">
        <v>81.31999999999999</v>
      </c>
      <c r="C134" s="4">
        <f>B134/B$2*100</f>
        <v/>
      </c>
      <c r="D134" s="5">
        <f>AVERAGE(B105:B134)</f>
        <v/>
      </c>
      <c r="E134" s="5">
        <f>SLOPE(B$2:B$731,$A$2:$A$731)*$A134+INTERCEPT(B$2:B$731,$A$2:$A$731)</f>
        <v/>
      </c>
      <c r="F134" s="3" t="n">
        <v>0.79</v>
      </c>
      <c r="G134" s="4">
        <f>F134/F$2*100</f>
        <v/>
      </c>
      <c r="H134" s="5">
        <f>AVERAGE(F105:F134)</f>
        <v/>
      </c>
      <c r="I134" s="5">
        <f>SLOPE(F$2:F$731,$A$2:$A$731)*$A134+INTERCEPT(F$2:F$731,$A$2:$A$731)</f>
        <v/>
      </c>
      <c r="J134" s="6" t="inlineStr">
        <is>
          <t>yes</t>
        </is>
      </c>
    </row>
    <row r="135">
      <c r="A135" s="2" t="n">
        <v>45425</v>
      </c>
      <c r="B135" s="3" t="n">
        <v>81.33</v>
      </c>
      <c r="C135" s="4">
        <f>B135/B$2*100</f>
        <v/>
      </c>
      <c r="D135" s="5">
        <f>AVERAGE(B106:B135)</f>
        <v/>
      </c>
      <c r="E135" s="5">
        <f>SLOPE(B$2:B$731,$A$2:$A$731)*$A135+INTERCEPT(B$2:B$731,$A$2:$A$731)</f>
        <v/>
      </c>
      <c r="F135" s="3" t="n">
        <v>0.79</v>
      </c>
      <c r="G135" s="4">
        <f>F135/F$2*100</f>
        <v/>
      </c>
      <c r="H135" s="5">
        <f>AVERAGE(F106:F135)</f>
        <v/>
      </c>
      <c r="I135" s="5">
        <f>SLOPE(F$2:F$731,$A$2:$A$731)*$A135+INTERCEPT(F$2:F$731,$A$2:$A$731)</f>
        <v/>
      </c>
      <c r="J135" s="6" t="inlineStr"/>
    </row>
    <row r="136">
      <c r="A136" s="2" t="n">
        <v>45426</v>
      </c>
      <c r="B136" s="3" t="n">
        <v>81.34</v>
      </c>
      <c r="C136" s="4">
        <f>B136/B$2*100</f>
        <v/>
      </c>
      <c r="D136" s="5">
        <f>AVERAGE(B107:B136)</f>
        <v/>
      </c>
      <c r="E136" s="5">
        <f>SLOPE(B$2:B$731,$A$2:$A$731)*$A136+INTERCEPT(B$2:B$731,$A$2:$A$731)</f>
        <v/>
      </c>
      <c r="F136" s="3" t="n">
        <v>0.79</v>
      </c>
      <c r="G136" s="4">
        <f>F136/F$2*100</f>
        <v/>
      </c>
      <c r="H136" s="5">
        <f>AVERAGE(F107:F136)</f>
        <v/>
      </c>
      <c r="I136" s="5">
        <f>SLOPE(F$2:F$731,$A$2:$A$731)*$A136+INTERCEPT(F$2:F$731,$A$2:$A$731)</f>
        <v/>
      </c>
      <c r="J136" s="6" t="inlineStr"/>
    </row>
    <row r="137">
      <c r="A137" s="2" t="n">
        <v>45427</v>
      </c>
      <c r="B137" s="3" t="n">
        <v>81.34999999999999</v>
      </c>
      <c r="C137" s="4">
        <f>B137/B$2*100</f>
        <v/>
      </c>
      <c r="D137" s="5">
        <f>AVERAGE(B108:B137)</f>
        <v/>
      </c>
      <c r="E137" s="5">
        <f>SLOPE(B$2:B$731,$A$2:$A$731)*$A137+INTERCEPT(B$2:B$731,$A$2:$A$731)</f>
        <v/>
      </c>
      <c r="F137" s="3" t="n">
        <v>0.79</v>
      </c>
      <c r="G137" s="4">
        <f>F137/F$2*100</f>
        <v/>
      </c>
      <c r="H137" s="5">
        <f>AVERAGE(F108:F137)</f>
        <v/>
      </c>
      <c r="I137" s="5">
        <f>SLOPE(F$2:F$731,$A$2:$A$731)*$A137+INTERCEPT(F$2:F$731,$A$2:$A$731)</f>
        <v/>
      </c>
      <c r="J137" s="6" t="inlineStr"/>
    </row>
    <row r="138">
      <c r="A138" s="2" t="n">
        <v>45428</v>
      </c>
      <c r="B138" s="3" t="n">
        <v>81.36</v>
      </c>
      <c r="C138" s="4">
        <f>B138/B$2*100</f>
        <v/>
      </c>
      <c r="D138" s="5">
        <f>AVERAGE(B109:B138)</f>
        <v/>
      </c>
      <c r="E138" s="5">
        <f>SLOPE(B$2:B$731,$A$2:$A$731)*$A138+INTERCEPT(B$2:B$731,$A$2:$A$731)</f>
        <v/>
      </c>
      <c r="F138" s="3" t="n">
        <v>0.79</v>
      </c>
      <c r="G138" s="4">
        <f>F138/F$2*100</f>
        <v/>
      </c>
      <c r="H138" s="5">
        <f>AVERAGE(F109:F138)</f>
        <v/>
      </c>
      <c r="I138" s="5">
        <f>SLOPE(F$2:F$731,$A$2:$A$731)*$A138+INTERCEPT(F$2:F$731,$A$2:$A$731)</f>
        <v/>
      </c>
      <c r="J138" s="6" t="inlineStr"/>
    </row>
    <row r="139">
      <c r="A139" s="2" t="n">
        <v>45429</v>
      </c>
      <c r="B139" s="3" t="n">
        <v>81.37</v>
      </c>
      <c r="C139" s="4">
        <f>B139/B$2*100</f>
        <v/>
      </c>
      <c r="D139" s="5">
        <f>AVERAGE(B110:B139)</f>
        <v/>
      </c>
      <c r="E139" s="5">
        <f>SLOPE(B$2:B$731,$A$2:$A$731)*$A139+INTERCEPT(B$2:B$731,$A$2:$A$731)</f>
        <v/>
      </c>
      <c r="F139" s="3" t="n">
        <v>0.79</v>
      </c>
      <c r="G139" s="4">
        <f>F139/F$2*100</f>
        <v/>
      </c>
      <c r="H139" s="5">
        <f>AVERAGE(F110:F139)</f>
        <v/>
      </c>
      <c r="I139" s="5">
        <f>SLOPE(F$2:F$731,$A$2:$A$731)*$A139+INTERCEPT(F$2:F$731,$A$2:$A$731)</f>
        <v/>
      </c>
      <c r="J139" s="6" t="inlineStr"/>
    </row>
    <row r="140">
      <c r="A140" s="2" t="n">
        <v>45430</v>
      </c>
      <c r="B140" s="3" t="n">
        <v>81.38</v>
      </c>
      <c r="C140" s="4">
        <f>B140/B$2*100</f>
        <v/>
      </c>
      <c r="D140" s="5">
        <f>AVERAGE(B111:B140)</f>
        <v/>
      </c>
      <c r="E140" s="5">
        <f>SLOPE(B$2:B$731,$A$2:$A$731)*$A140+INTERCEPT(B$2:B$731,$A$2:$A$731)</f>
        <v/>
      </c>
      <c r="F140" s="3" t="n">
        <v>0.79</v>
      </c>
      <c r="G140" s="4">
        <f>F140/F$2*100</f>
        <v/>
      </c>
      <c r="H140" s="5">
        <f>AVERAGE(F111:F140)</f>
        <v/>
      </c>
      <c r="I140" s="5">
        <f>SLOPE(F$2:F$731,$A$2:$A$731)*$A140+INTERCEPT(F$2:F$731,$A$2:$A$731)</f>
        <v/>
      </c>
      <c r="J140" s="6" t="inlineStr">
        <is>
          <t>yes</t>
        </is>
      </c>
    </row>
    <row r="141">
      <c r="A141" s="2" t="n">
        <v>45431</v>
      </c>
      <c r="B141" s="3" t="n">
        <v>81.39</v>
      </c>
      <c r="C141" s="4">
        <f>B141/B$2*100</f>
        <v/>
      </c>
      <c r="D141" s="5">
        <f>AVERAGE(B112:B141)</f>
        <v/>
      </c>
      <c r="E141" s="5">
        <f>SLOPE(B$2:B$731,$A$2:$A$731)*$A141+INTERCEPT(B$2:B$731,$A$2:$A$731)</f>
        <v/>
      </c>
      <c r="F141" s="3" t="n">
        <v>0.79</v>
      </c>
      <c r="G141" s="4">
        <f>F141/F$2*100</f>
        <v/>
      </c>
      <c r="H141" s="5">
        <f>AVERAGE(F112:F141)</f>
        <v/>
      </c>
      <c r="I141" s="5">
        <f>SLOPE(F$2:F$731,$A$2:$A$731)*$A141+INTERCEPT(F$2:F$731,$A$2:$A$731)</f>
        <v/>
      </c>
      <c r="J141" s="6" t="inlineStr">
        <is>
          <t>yes</t>
        </is>
      </c>
    </row>
    <row r="142">
      <c r="A142" s="2" t="n">
        <v>45432</v>
      </c>
      <c r="B142" s="3" t="n">
        <v>81.40000000000001</v>
      </c>
      <c r="C142" s="4">
        <f>B142/B$2*100</f>
        <v/>
      </c>
      <c r="D142" s="5">
        <f>AVERAGE(B113:B142)</f>
        <v/>
      </c>
      <c r="E142" s="5">
        <f>SLOPE(B$2:B$731,$A$2:$A$731)*$A142+INTERCEPT(B$2:B$731,$A$2:$A$731)</f>
        <v/>
      </c>
      <c r="F142" s="3" t="n">
        <v>0.79</v>
      </c>
      <c r="G142" s="4">
        <f>F142/F$2*100</f>
        <v/>
      </c>
      <c r="H142" s="5">
        <f>AVERAGE(F113:F142)</f>
        <v/>
      </c>
      <c r="I142" s="5">
        <f>SLOPE(F$2:F$731,$A$2:$A$731)*$A142+INTERCEPT(F$2:F$731,$A$2:$A$731)</f>
        <v/>
      </c>
      <c r="J142" s="6" t="inlineStr"/>
    </row>
    <row r="143">
      <c r="A143" s="2" t="n">
        <v>45433</v>
      </c>
      <c r="B143" s="3" t="n">
        <v>81.41</v>
      </c>
      <c r="C143" s="4">
        <f>B143/B$2*100</f>
        <v/>
      </c>
      <c r="D143" s="5">
        <f>AVERAGE(B114:B143)</f>
        <v/>
      </c>
      <c r="E143" s="5">
        <f>SLOPE(B$2:B$731,$A$2:$A$731)*$A143+INTERCEPT(B$2:B$731,$A$2:$A$731)</f>
        <v/>
      </c>
      <c r="F143" s="3" t="n">
        <v>0.79</v>
      </c>
      <c r="G143" s="4">
        <f>F143/F$2*100</f>
        <v/>
      </c>
      <c r="H143" s="5">
        <f>AVERAGE(F114:F143)</f>
        <v/>
      </c>
      <c r="I143" s="5">
        <f>SLOPE(F$2:F$731,$A$2:$A$731)*$A143+INTERCEPT(F$2:F$731,$A$2:$A$731)</f>
        <v/>
      </c>
      <c r="J143" s="6" t="inlineStr"/>
    </row>
    <row r="144">
      <c r="A144" s="2" t="n">
        <v>45434</v>
      </c>
      <c r="B144" s="3" t="n">
        <v>81.42</v>
      </c>
      <c r="C144" s="4">
        <f>B144/B$2*100</f>
        <v/>
      </c>
      <c r="D144" s="5">
        <f>AVERAGE(B115:B144)</f>
        <v/>
      </c>
      <c r="E144" s="5">
        <f>SLOPE(B$2:B$731,$A$2:$A$731)*$A144+INTERCEPT(B$2:B$731,$A$2:$A$731)</f>
        <v/>
      </c>
      <c r="F144" s="3" t="n">
        <v>0.79</v>
      </c>
      <c r="G144" s="4">
        <f>F144/F$2*100</f>
        <v/>
      </c>
      <c r="H144" s="5">
        <f>AVERAGE(F115:F144)</f>
        <v/>
      </c>
      <c r="I144" s="5">
        <f>SLOPE(F$2:F$731,$A$2:$A$731)*$A144+INTERCEPT(F$2:F$731,$A$2:$A$731)</f>
        <v/>
      </c>
      <c r="J144" s="6" t="inlineStr"/>
    </row>
    <row r="145">
      <c r="A145" s="2" t="n">
        <v>45435</v>
      </c>
      <c r="B145" s="3" t="n">
        <v>81.43000000000001</v>
      </c>
      <c r="C145" s="4">
        <f>B145/B$2*100</f>
        <v/>
      </c>
      <c r="D145" s="5">
        <f>AVERAGE(B116:B145)</f>
        <v/>
      </c>
      <c r="E145" s="5">
        <f>SLOPE(B$2:B$731,$A$2:$A$731)*$A145+INTERCEPT(B$2:B$731,$A$2:$A$731)</f>
        <v/>
      </c>
      <c r="F145" s="3" t="n">
        <v>0.79</v>
      </c>
      <c r="G145" s="4">
        <f>F145/F$2*100</f>
        <v/>
      </c>
      <c r="H145" s="5">
        <f>AVERAGE(F116:F145)</f>
        <v/>
      </c>
      <c r="I145" s="5">
        <f>SLOPE(F$2:F$731,$A$2:$A$731)*$A145+INTERCEPT(F$2:F$731,$A$2:$A$731)</f>
        <v/>
      </c>
      <c r="J145" s="6" t="inlineStr"/>
    </row>
    <row r="146">
      <c r="A146" s="2" t="n">
        <v>45436</v>
      </c>
      <c r="B146" s="3" t="n">
        <v>81.44</v>
      </c>
      <c r="C146" s="4">
        <f>B146/B$2*100</f>
        <v/>
      </c>
      <c r="D146" s="5">
        <f>AVERAGE(B117:B146)</f>
        <v/>
      </c>
      <c r="E146" s="5">
        <f>SLOPE(B$2:B$731,$A$2:$A$731)*$A146+INTERCEPT(B$2:B$731,$A$2:$A$731)</f>
        <v/>
      </c>
      <c r="F146" s="3" t="n">
        <v>0.79</v>
      </c>
      <c r="G146" s="4">
        <f>F146/F$2*100</f>
        <v/>
      </c>
      <c r="H146" s="5">
        <f>AVERAGE(F117:F146)</f>
        <v/>
      </c>
      <c r="I146" s="5">
        <f>SLOPE(F$2:F$731,$A$2:$A$731)*$A146+INTERCEPT(F$2:F$731,$A$2:$A$731)</f>
        <v/>
      </c>
      <c r="J146" s="6" t="inlineStr"/>
    </row>
    <row r="147">
      <c r="A147" s="2" t="n">
        <v>45437</v>
      </c>
      <c r="B147" s="3" t="n">
        <v>81.45</v>
      </c>
      <c r="C147" s="4">
        <f>B147/B$2*100</f>
        <v/>
      </c>
      <c r="D147" s="5">
        <f>AVERAGE(B118:B147)</f>
        <v/>
      </c>
      <c r="E147" s="5">
        <f>SLOPE(B$2:B$731,$A$2:$A$731)*$A147+INTERCEPT(B$2:B$731,$A$2:$A$731)</f>
        <v/>
      </c>
      <c r="F147" s="3" t="n">
        <v>0.79</v>
      </c>
      <c r="G147" s="4">
        <f>F147/F$2*100</f>
        <v/>
      </c>
      <c r="H147" s="5">
        <f>AVERAGE(F118:F147)</f>
        <v/>
      </c>
      <c r="I147" s="5">
        <f>SLOPE(F$2:F$731,$A$2:$A$731)*$A147+INTERCEPT(F$2:F$731,$A$2:$A$731)</f>
        <v/>
      </c>
      <c r="J147" s="6" t="inlineStr">
        <is>
          <t>yes</t>
        </is>
      </c>
    </row>
    <row r="148">
      <c r="A148" s="2" t="n">
        <v>45438</v>
      </c>
      <c r="B148" s="3" t="n">
        <v>81.45999999999999</v>
      </c>
      <c r="C148" s="4">
        <f>B148/B$2*100</f>
        <v/>
      </c>
      <c r="D148" s="5">
        <f>AVERAGE(B119:B148)</f>
        <v/>
      </c>
      <c r="E148" s="5">
        <f>SLOPE(B$2:B$731,$A$2:$A$731)*$A148+INTERCEPT(B$2:B$731,$A$2:$A$731)</f>
        <v/>
      </c>
      <c r="F148" s="3" t="n">
        <v>0.79</v>
      </c>
      <c r="G148" s="4">
        <f>F148/F$2*100</f>
        <v/>
      </c>
      <c r="H148" s="5">
        <f>AVERAGE(F119:F148)</f>
        <v/>
      </c>
      <c r="I148" s="5">
        <f>SLOPE(F$2:F$731,$A$2:$A$731)*$A148+INTERCEPT(F$2:F$731,$A$2:$A$731)</f>
        <v/>
      </c>
      <c r="J148" s="6" t="inlineStr">
        <is>
          <t>yes</t>
        </is>
      </c>
    </row>
    <row r="149">
      <c r="A149" s="2" t="n">
        <v>45439</v>
      </c>
      <c r="B149" s="3" t="n">
        <v>81.47</v>
      </c>
      <c r="C149" s="4">
        <f>B149/B$2*100</f>
        <v/>
      </c>
      <c r="D149" s="5">
        <f>AVERAGE(B120:B149)</f>
        <v/>
      </c>
      <c r="E149" s="5">
        <f>SLOPE(B$2:B$731,$A$2:$A$731)*$A149+INTERCEPT(B$2:B$731,$A$2:$A$731)</f>
        <v/>
      </c>
      <c r="F149" s="3" t="n">
        <v>0.79</v>
      </c>
      <c r="G149" s="4">
        <f>F149/F$2*100</f>
        <v/>
      </c>
      <c r="H149" s="5">
        <f>AVERAGE(F120:F149)</f>
        <v/>
      </c>
      <c r="I149" s="5">
        <f>SLOPE(F$2:F$731,$A$2:$A$731)*$A149+INTERCEPT(F$2:F$731,$A$2:$A$731)</f>
        <v/>
      </c>
      <c r="J149" s="6" t="inlineStr"/>
    </row>
    <row r="150">
      <c r="A150" s="2" t="n">
        <v>45440</v>
      </c>
      <c r="B150" s="3" t="n">
        <v>81.48</v>
      </c>
      <c r="C150" s="4">
        <f>B150/B$2*100</f>
        <v/>
      </c>
      <c r="D150" s="5">
        <f>AVERAGE(B121:B150)</f>
        <v/>
      </c>
      <c r="E150" s="5">
        <f>SLOPE(B$2:B$731,$A$2:$A$731)*$A150+INTERCEPT(B$2:B$731,$A$2:$A$731)</f>
        <v/>
      </c>
      <c r="F150" s="3" t="n">
        <v>0.79</v>
      </c>
      <c r="G150" s="4">
        <f>F150/F$2*100</f>
        <v/>
      </c>
      <c r="H150" s="5">
        <f>AVERAGE(F121:F150)</f>
        <v/>
      </c>
      <c r="I150" s="5">
        <f>SLOPE(F$2:F$731,$A$2:$A$731)*$A150+INTERCEPT(F$2:F$731,$A$2:$A$731)</f>
        <v/>
      </c>
      <c r="J150" s="6" t="inlineStr"/>
    </row>
    <row r="151">
      <c r="A151" s="2" t="n">
        <v>45441</v>
      </c>
      <c r="B151" s="3" t="n">
        <v>81.48999999999999</v>
      </c>
      <c r="C151" s="4">
        <f>B151/B$2*100</f>
        <v/>
      </c>
      <c r="D151" s="5">
        <f>AVERAGE(B122:B151)</f>
        <v/>
      </c>
      <c r="E151" s="5">
        <f>SLOPE(B$2:B$731,$A$2:$A$731)*$A151+INTERCEPT(B$2:B$731,$A$2:$A$731)</f>
        <v/>
      </c>
      <c r="F151" s="3" t="n">
        <v>0.79</v>
      </c>
      <c r="G151" s="4">
        <f>F151/F$2*100</f>
        <v/>
      </c>
      <c r="H151" s="5">
        <f>AVERAGE(F122:F151)</f>
        <v/>
      </c>
      <c r="I151" s="5">
        <f>SLOPE(F$2:F$731,$A$2:$A$731)*$A151+INTERCEPT(F$2:F$731,$A$2:$A$731)</f>
        <v/>
      </c>
      <c r="J151" s="6" t="inlineStr"/>
    </row>
    <row r="152">
      <c r="A152" s="2" t="n">
        <v>45442</v>
      </c>
      <c r="B152" s="3" t="n">
        <v>81.5</v>
      </c>
      <c r="C152" s="4">
        <f>B152/B$2*100</f>
        <v/>
      </c>
      <c r="D152" s="5">
        <f>AVERAGE(B123:B152)</f>
        <v/>
      </c>
      <c r="E152" s="5">
        <f>SLOPE(B$2:B$731,$A$2:$A$731)*$A152+INTERCEPT(B$2:B$731,$A$2:$A$731)</f>
        <v/>
      </c>
      <c r="F152" s="3" t="n">
        <v>0.79</v>
      </c>
      <c r="G152" s="4">
        <f>F152/F$2*100</f>
        <v/>
      </c>
      <c r="H152" s="5">
        <f>AVERAGE(F123:F152)</f>
        <v/>
      </c>
      <c r="I152" s="5">
        <f>SLOPE(F$2:F$731,$A$2:$A$731)*$A152+INTERCEPT(F$2:F$731,$A$2:$A$731)</f>
        <v/>
      </c>
      <c r="J152" s="6" t="inlineStr"/>
    </row>
    <row r="153">
      <c r="A153" s="2" t="n">
        <v>45443</v>
      </c>
      <c r="B153" s="3" t="n">
        <v>81.51000000000001</v>
      </c>
      <c r="C153" s="4">
        <f>B153/B$2*100</f>
        <v/>
      </c>
      <c r="D153" s="5">
        <f>AVERAGE(B124:B153)</f>
        <v/>
      </c>
      <c r="E153" s="5">
        <f>SLOPE(B$2:B$731,$A$2:$A$731)*$A153+INTERCEPT(B$2:B$731,$A$2:$A$731)</f>
        <v/>
      </c>
      <c r="F153" s="3" t="n">
        <v>0.79</v>
      </c>
      <c r="G153" s="4">
        <f>F153/F$2*100</f>
        <v/>
      </c>
      <c r="H153" s="5">
        <f>AVERAGE(F124:F153)</f>
        <v/>
      </c>
      <c r="I153" s="5">
        <f>SLOPE(F$2:F$731,$A$2:$A$731)*$A153+INTERCEPT(F$2:F$731,$A$2:$A$731)</f>
        <v/>
      </c>
      <c r="J153" s="6" t="inlineStr"/>
    </row>
    <row r="154">
      <c r="A154" s="2" t="n">
        <v>45444</v>
      </c>
      <c r="B154" s="3" t="n">
        <v>81.52</v>
      </c>
      <c r="C154" s="4">
        <f>B154/B$2*100</f>
        <v/>
      </c>
      <c r="D154" s="5">
        <f>AVERAGE(B125:B154)</f>
        <v/>
      </c>
      <c r="E154" s="5">
        <f>SLOPE(B$2:B$731,$A$2:$A$731)*$A154+INTERCEPT(B$2:B$731,$A$2:$A$731)</f>
        <v/>
      </c>
      <c r="F154" s="3" t="n">
        <v>0.79</v>
      </c>
      <c r="G154" s="4">
        <f>F154/F$2*100</f>
        <v/>
      </c>
      <c r="H154" s="5">
        <f>AVERAGE(F125:F154)</f>
        <v/>
      </c>
      <c r="I154" s="5">
        <f>SLOPE(F$2:F$731,$A$2:$A$731)*$A154+INTERCEPT(F$2:F$731,$A$2:$A$731)</f>
        <v/>
      </c>
      <c r="J154" s="6" t="inlineStr">
        <is>
          <t>yes</t>
        </is>
      </c>
    </row>
    <row r="155">
      <c r="A155" s="2" t="n">
        <v>45445</v>
      </c>
      <c r="B155" s="3" t="n">
        <v>81.53</v>
      </c>
      <c r="C155" s="4">
        <f>B155/B$2*100</f>
        <v/>
      </c>
      <c r="D155" s="5">
        <f>AVERAGE(B126:B155)</f>
        <v/>
      </c>
      <c r="E155" s="5">
        <f>SLOPE(B$2:B$731,$A$2:$A$731)*$A155+INTERCEPT(B$2:B$731,$A$2:$A$731)</f>
        <v/>
      </c>
      <c r="F155" s="3" t="n">
        <v>0.79</v>
      </c>
      <c r="G155" s="4">
        <f>F155/F$2*100</f>
        <v/>
      </c>
      <c r="H155" s="5">
        <f>AVERAGE(F126:F155)</f>
        <v/>
      </c>
      <c r="I155" s="5">
        <f>SLOPE(F$2:F$731,$A$2:$A$731)*$A155+INTERCEPT(F$2:F$731,$A$2:$A$731)</f>
        <v/>
      </c>
      <c r="J155" s="6" t="inlineStr">
        <is>
          <t>yes</t>
        </is>
      </c>
    </row>
    <row r="156">
      <c r="A156" s="2" t="n">
        <v>45446</v>
      </c>
      <c r="B156" s="3" t="n">
        <v>81.54000000000001</v>
      </c>
      <c r="C156" s="4">
        <f>B156/B$2*100</f>
        <v/>
      </c>
      <c r="D156" s="5">
        <f>AVERAGE(B127:B156)</f>
        <v/>
      </c>
      <c r="E156" s="5">
        <f>SLOPE(B$2:B$731,$A$2:$A$731)*$A156+INTERCEPT(B$2:B$731,$A$2:$A$731)</f>
        <v/>
      </c>
      <c r="F156" s="3" t="n">
        <v>0.79</v>
      </c>
      <c r="G156" s="4">
        <f>F156/F$2*100</f>
        <v/>
      </c>
      <c r="H156" s="5">
        <f>AVERAGE(F127:F156)</f>
        <v/>
      </c>
      <c r="I156" s="5">
        <f>SLOPE(F$2:F$731,$A$2:$A$731)*$A156+INTERCEPT(F$2:F$731,$A$2:$A$731)</f>
        <v/>
      </c>
      <c r="J156" s="6" t="inlineStr"/>
    </row>
    <row r="157">
      <c r="A157" s="2" t="n">
        <v>45447</v>
      </c>
      <c r="B157" s="3" t="n">
        <v>81.55</v>
      </c>
      <c r="C157" s="4">
        <f>B157/B$2*100</f>
        <v/>
      </c>
      <c r="D157" s="5">
        <f>AVERAGE(B128:B157)</f>
        <v/>
      </c>
      <c r="E157" s="5">
        <f>SLOPE(B$2:B$731,$A$2:$A$731)*$A157+INTERCEPT(B$2:B$731,$A$2:$A$731)</f>
        <v/>
      </c>
      <c r="F157" s="3" t="n">
        <v>0.79</v>
      </c>
      <c r="G157" s="4">
        <f>F157/F$2*100</f>
        <v/>
      </c>
      <c r="H157" s="5">
        <f>AVERAGE(F128:F157)</f>
        <v/>
      </c>
      <c r="I157" s="5">
        <f>SLOPE(F$2:F$731,$A$2:$A$731)*$A157+INTERCEPT(F$2:F$731,$A$2:$A$731)</f>
        <v/>
      </c>
      <c r="J157" s="6" t="inlineStr"/>
    </row>
    <row r="158">
      <c r="A158" s="2" t="n">
        <v>45448</v>
      </c>
      <c r="B158" s="3" t="n">
        <v>81.56</v>
      </c>
      <c r="C158" s="4">
        <f>B158/B$2*100</f>
        <v/>
      </c>
      <c r="D158" s="5">
        <f>AVERAGE(B129:B158)</f>
        <v/>
      </c>
      <c r="E158" s="5">
        <f>SLOPE(B$2:B$731,$A$2:$A$731)*$A158+INTERCEPT(B$2:B$731,$A$2:$A$731)</f>
        <v/>
      </c>
      <c r="F158" s="3" t="n">
        <v>0.79</v>
      </c>
      <c r="G158" s="4">
        <f>F158/F$2*100</f>
        <v/>
      </c>
      <c r="H158" s="5">
        <f>AVERAGE(F129:F158)</f>
        <v/>
      </c>
      <c r="I158" s="5">
        <f>SLOPE(F$2:F$731,$A$2:$A$731)*$A158+INTERCEPT(F$2:F$731,$A$2:$A$731)</f>
        <v/>
      </c>
      <c r="J158" s="6" t="inlineStr"/>
    </row>
    <row r="159">
      <c r="A159" s="2" t="n">
        <v>45449</v>
      </c>
      <c r="B159" s="3" t="n">
        <v>81.56999999999999</v>
      </c>
      <c r="C159" s="4">
        <f>B159/B$2*100</f>
        <v/>
      </c>
      <c r="D159" s="5">
        <f>AVERAGE(B130:B159)</f>
        <v/>
      </c>
      <c r="E159" s="5">
        <f>SLOPE(B$2:B$731,$A$2:$A$731)*$A159+INTERCEPT(B$2:B$731,$A$2:$A$731)</f>
        <v/>
      </c>
      <c r="F159" s="3" t="n">
        <v>0.79</v>
      </c>
      <c r="G159" s="4">
        <f>F159/F$2*100</f>
        <v/>
      </c>
      <c r="H159" s="5">
        <f>AVERAGE(F130:F159)</f>
        <v/>
      </c>
      <c r="I159" s="5">
        <f>SLOPE(F$2:F$731,$A$2:$A$731)*$A159+INTERCEPT(F$2:F$731,$A$2:$A$731)</f>
        <v/>
      </c>
      <c r="J159" s="6" t="inlineStr"/>
    </row>
    <row r="160">
      <c r="A160" s="2" t="n">
        <v>45450</v>
      </c>
      <c r="B160" s="3" t="n">
        <v>81.58</v>
      </c>
      <c r="C160" s="4">
        <f>B160/B$2*100</f>
        <v/>
      </c>
      <c r="D160" s="5">
        <f>AVERAGE(B131:B160)</f>
        <v/>
      </c>
      <c r="E160" s="5">
        <f>SLOPE(B$2:B$731,$A$2:$A$731)*$A160+INTERCEPT(B$2:B$731,$A$2:$A$731)</f>
        <v/>
      </c>
      <c r="F160" s="3" t="n">
        <v>0.79</v>
      </c>
      <c r="G160" s="4">
        <f>F160/F$2*100</f>
        <v/>
      </c>
      <c r="H160" s="5">
        <f>AVERAGE(F131:F160)</f>
        <v/>
      </c>
      <c r="I160" s="5">
        <f>SLOPE(F$2:F$731,$A$2:$A$731)*$A160+INTERCEPT(F$2:F$731,$A$2:$A$731)</f>
        <v/>
      </c>
      <c r="J160" s="6" t="inlineStr"/>
    </row>
    <row r="161">
      <c r="A161" s="2" t="n">
        <v>45451</v>
      </c>
      <c r="B161" s="3" t="n">
        <v>81.59</v>
      </c>
      <c r="C161" s="4">
        <f>B161/B$2*100</f>
        <v/>
      </c>
      <c r="D161" s="5">
        <f>AVERAGE(B132:B161)</f>
        <v/>
      </c>
      <c r="E161" s="5">
        <f>SLOPE(B$2:B$731,$A$2:$A$731)*$A161+INTERCEPT(B$2:B$731,$A$2:$A$731)</f>
        <v/>
      </c>
      <c r="F161" s="3" t="n">
        <v>0.79</v>
      </c>
      <c r="G161" s="4">
        <f>F161/F$2*100</f>
        <v/>
      </c>
      <c r="H161" s="5">
        <f>AVERAGE(F132:F161)</f>
        <v/>
      </c>
      <c r="I161" s="5">
        <f>SLOPE(F$2:F$731,$A$2:$A$731)*$A161+INTERCEPT(F$2:F$731,$A$2:$A$731)</f>
        <v/>
      </c>
      <c r="J161" s="6" t="inlineStr">
        <is>
          <t>yes</t>
        </is>
      </c>
    </row>
    <row r="162">
      <c r="A162" s="2" t="n">
        <v>45452</v>
      </c>
      <c r="B162" s="3" t="n">
        <v>81.59999999999999</v>
      </c>
      <c r="C162" s="4">
        <f>B162/B$2*100</f>
        <v/>
      </c>
      <c r="D162" s="5">
        <f>AVERAGE(B133:B162)</f>
        <v/>
      </c>
      <c r="E162" s="5">
        <f>SLOPE(B$2:B$731,$A$2:$A$731)*$A162+INTERCEPT(B$2:B$731,$A$2:$A$731)</f>
        <v/>
      </c>
      <c r="F162" s="3" t="n">
        <v>0.79</v>
      </c>
      <c r="G162" s="4">
        <f>F162/F$2*100</f>
        <v/>
      </c>
      <c r="H162" s="5">
        <f>AVERAGE(F133:F162)</f>
        <v/>
      </c>
      <c r="I162" s="5">
        <f>SLOPE(F$2:F$731,$A$2:$A$731)*$A162+INTERCEPT(F$2:F$731,$A$2:$A$731)</f>
        <v/>
      </c>
      <c r="J162" s="6" t="inlineStr">
        <is>
          <t>yes</t>
        </is>
      </c>
    </row>
    <row r="163">
      <c r="A163" s="2" t="n">
        <v>45453</v>
      </c>
      <c r="B163" s="3" t="n">
        <v>81.61</v>
      </c>
      <c r="C163" s="4">
        <f>B163/B$2*100</f>
        <v/>
      </c>
      <c r="D163" s="5">
        <f>AVERAGE(B134:B163)</f>
        <v/>
      </c>
      <c r="E163" s="5">
        <f>SLOPE(B$2:B$731,$A$2:$A$731)*$A163+INTERCEPT(B$2:B$731,$A$2:$A$731)</f>
        <v/>
      </c>
      <c r="F163" s="3" t="n">
        <v>0.79</v>
      </c>
      <c r="G163" s="4">
        <f>F163/F$2*100</f>
        <v/>
      </c>
      <c r="H163" s="5">
        <f>AVERAGE(F134:F163)</f>
        <v/>
      </c>
      <c r="I163" s="5">
        <f>SLOPE(F$2:F$731,$A$2:$A$731)*$A163+INTERCEPT(F$2:F$731,$A$2:$A$731)</f>
        <v/>
      </c>
      <c r="J163" s="6" t="inlineStr"/>
    </row>
    <row r="164">
      <c r="A164" s="2" t="n">
        <v>45454</v>
      </c>
      <c r="B164" s="3" t="n">
        <v>81.62</v>
      </c>
      <c r="C164" s="4">
        <f>B164/B$2*100</f>
        <v/>
      </c>
      <c r="D164" s="5">
        <f>AVERAGE(B135:B164)</f>
        <v/>
      </c>
      <c r="E164" s="5">
        <f>SLOPE(B$2:B$731,$A$2:$A$731)*$A164+INTERCEPT(B$2:B$731,$A$2:$A$731)</f>
        <v/>
      </c>
      <c r="F164" s="3" t="n">
        <v>0.79</v>
      </c>
      <c r="G164" s="4">
        <f>F164/F$2*100</f>
        <v/>
      </c>
      <c r="H164" s="5">
        <f>AVERAGE(F135:F164)</f>
        <v/>
      </c>
      <c r="I164" s="5">
        <f>SLOPE(F$2:F$731,$A$2:$A$731)*$A164+INTERCEPT(F$2:F$731,$A$2:$A$731)</f>
        <v/>
      </c>
      <c r="J164" s="6" t="inlineStr"/>
    </row>
    <row r="165">
      <c r="A165" s="2" t="n">
        <v>45455</v>
      </c>
      <c r="B165" s="3" t="n">
        <v>81.63</v>
      </c>
      <c r="C165" s="4">
        <f>B165/B$2*100</f>
        <v/>
      </c>
      <c r="D165" s="5">
        <f>AVERAGE(B136:B165)</f>
        <v/>
      </c>
      <c r="E165" s="5">
        <f>SLOPE(B$2:B$731,$A$2:$A$731)*$A165+INTERCEPT(B$2:B$731,$A$2:$A$731)</f>
        <v/>
      </c>
      <c r="F165" s="3" t="n">
        <v>0.79</v>
      </c>
      <c r="G165" s="4">
        <f>F165/F$2*100</f>
        <v/>
      </c>
      <c r="H165" s="5">
        <f>AVERAGE(F136:F165)</f>
        <v/>
      </c>
      <c r="I165" s="5">
        <f>SLOPE(F$2:F$731,$A$2:$A$731)*$A165+INTERCEPT(F$2:F$731,$A$2:$A$731)</f>
        <v/>
      </c>
      <c r="J165" s="6" t="inlineStr"/>
    </row>
    <row r="166">
      <c r="A166" s="2" t="n">
        <v>45456</v>
      </c>
      <c r="B166" s="3" t="n">
        <v>81.64</v>
      </c>
      <c r="C166" s="4">
        <f>B166/B$2*100</f>
        <v/>
      </c>
      <c r="D166" s="5">
        <f>AVERAGE(B137:B166)</f>
        <v/>
      </c>
      <c r="E166" s="5">
        <f>SLOPE(B$2:B$731,$A$2:$A$731)*$A166+INTERCEPT(B$2:B$731,$A$2:$A$731)</f>
        <v/>
      </c>
      <c r="F166" s="3" t="n">
        <v>0.79</v>
      </c>
      <c r="G166" s="4">
        <f>F166/F$2*100</f>
        <v/>
      </c>
      <c r="H166" s="5">
        <f>AVERAGE(F137:F166)</f>
        <v/>
      </c>
      <c r="I166" s="5">
        <f>SLOPE(F$2:F$731,$A$2:$A$731)*$A166+INTERCEPT(F$2:F$731,$A$2:$A$731)</f>
        <v/>
      </c>
      <c r="J166" s="6" t="inlineStr"/>
    </row>
    <row r="167">
      <c r="A167" s="2" t="n">
        <v>45457</v>
      </c>
      <c r="B167" s="3" t="n">
        <v>81.65000000000001</v>
      </c>
      <c r="C167" s="4">
        <f>B167/B$2*100</f>
        <v/>
      </c>
      <c r="D167" s="5">
        <f>AVERAGE(B138:B167)</f>
        <v/>
      </c>
      <c r="E167" s="5">
        <f>SLOPE(B$2:B$731,$A$2:$A$731)*$A167+INTERCEPT(B$2:B$731,$A$2:$A$731)</f>
        <v/>
      </c>
      <c r="F167" s="3" t="n">
        <v>0.79</v>
      </c>
      <c r="G167" s="4">
        <f>F167/F$2*100</f>
        <v/>
      </c>
      <c r="H167" s="5">
        <f>AVERAGE(F138:F167)</f>
        <v/>
      </c>
      <c r="I167" s="5">
        <f>SLOPE(F$2:F$731,$A$2:$A$731)*$A167+INTERCEPT(F$2:F$731,$A$2:$A$731)</f>
        <v/>
      </c>
      <c r="J167" s="6" t="inlineStr"/>
    </row>
    <row r="168">
      <c r="A168" s="2" t="n">
        <v>45458</v>
      </c>
      <c r="B168" s="3" t="n">
        <v>81.66</v>
      </c>
      <c r="C168" s="4">
        <f>B168/B$2*100</f>
        <v/>
      </c>
      <c r="D168" s="5">
        <f>AVERAGE(B139:B168)</f>
        <v/>
      </c>
      <c r="E168" s="5">
        <f>SLOPE(B$2:B$731,$A$2:$A$731)*$A168+INTERCEPT(B$2:B$731,$A$2:$A$731)</f>
        <v/>
      </c>
      <c r="F168" s="3" t="n">
        <v>0.79</v>
      </c>
      <c r="G168" s="4">
        <f>F168/F$2*100</f>
        <v/>
      </c>
      <c r="H168" s="5">
        <f>AVERAGE(F139:F168)</f>
        <v/>
      </c>
      <c r="I168" s="5">
        <f>SLOPE(F$2:F$731,$A$2:$A$731)*$A168+INTERCEPT(F$2:F$731,$A$2:$A$731)</f>
        <v/>
      </c>
      <c r="J168" s="6" t="inlineStr">
        <is>
          <t>yes</t>
        </is>
      </c>
    </row>
    <row r="169">
      <c r="A169" s="2" t="n">
        <v>45459</v>
      </c>
      <c r="B169" s="3" t="n">
        <v>81.67</v>
      </c>
      <c r="C169" s="4">
        <f>B169/B$2*100</f>
        <v/>
      </c>
      <c r="D169" s="5">
        <f>AVERAGE(B140:B169)</f>
        <v/>
      </c>
      <c r="E169" s="5">
        <f>SLOPE(B$2:B$731,$A$2:$A$731)*$A169+INTERCEPT(B$2:B$731,$A$2:$A$731)</f>
        <v/>
      </c>
      <c r="F169" s="3" t="n">
        <v>0.79</v>
      </c>
      <c r="G169" s="4">
        <f>F169/F$2*100</f>
        <v/>
      </c>
      <c r="H169" s="5">
        <f>AVERAGE(F140:F169)</f>
        <v/>
      </c>
      <c r="I169" s="5">
        <f>SLOPE(F$2:F$731,$A$2:$A$731)*$A169+INTERCEPT(F$2:F$731,$A$2:$A$731)</f>
        <v/>
      </c>
      <c r="J169" s="6" t="inlineStr">
        <is>
          <t>yes</t>
        </is>
      </c>
    </row>
    <row r="170">
      <c r="A170" s="2" t="n">
        <v>45460</v>
      </c>
      <c r="B170" s="3" t="n">
        <v>81.68000000000001</v>
      </c>
      <c r="C170" s="4">
        <f>B170/B$2*100</f>
        <v/>
      </c>
      <c r="D170" s="5">
        <f>AVERAGE(B141:B170)</f>
        <v/>
      </c>
      <c r="E170" s="5">
        <f>SLOPE(B$2:B$731,$A$2:$A$731)*$A170+INTERCEPT(B$2:B$731,$A$2:$A$731)</f>
        <v/>
      </c>
      <c r="F170" s="3" t="n">
        <v>0.79</v>
      </c>
      <c r="G170" s="4">
        <f>F170/F$2*100</f>
        <v/>
      </c>
      <c r="H170" s="5">
        <f>AVERAGE(F141:F170)</f>
        <v/>
      </c>
      <c r="I170" s="5">
        <f>SLOPE(F$2:F$731,$A$2:$A$731)*$A170+INTERCEPT(F$2:F$731,$A$2:$A$731)</f>
        <v/>
      </c>
      <c r="J170" s="6" t="inlineStr"/>
    </row>
    <row r="171">
      <c r="A171" s="2" t="n">
        <v>45461</v>
      </c>
      <c r="B171" s="3" t="n">
        <v>81.69</v>
      </c>
      <c r="C171" s="4">
        <f>B171/B$2*100</f>
        <v/>
      </c>
      <c r="D171" s="5">
        <f>AVERAGE(B142:B171)</f>
        <v/>
      </c>
      <c r="E171" s="5">
        <f>SLOPE(B$2:B$731,$A$2:$A$731)*$A171+INTERCEPT(B$2:B$731,$A$2:$A$731)</f>
        <v/>
      </c>
      <c r="F171" s="3" t="n">
        <v>0.79</v>
      </c>
      <c r="G171" s="4">
        <f>F171/F$2*100</f>
        <v/>
      </c>
      <c r="H171" s="5">
        <f>AVERAGE(F142:F171)</f>
        <v/>
      </c>
      <c r="I171" s="5">
        <f>SLOPE(F$2:F$731,$A$2:$A$731)*$A171+INTERCEPT(F$2:F$731,$A$2:$A$731)</f>
        <v/>
      </c>
      <c r="J171" s="6" t="inlineStr"/>
    </row>
    <row r="172">
      <c r="A172" s="2" t="n">
        <v>45462</v>
      </c>
      <c r="B172" s="3" t="n">
        <v>81.7</v>
      </c>
      <c r="C172" s="4">
        <f>B172/B$2*100</f>
        <v/>
      </c>
      <c r="D172" s="5">
        <f>AVERAGE(B143:B172)</f>
        <v/>
      </c>
      <c r="E172" s="5">
        <f>SLOPE(B$2:B$731,$A$2:$A$731)*$A172+INTERCEPT(B$2:B$731,$A$2:$A$731)</f>
        <v/>
      </c>
      <c r="F172" s="3" t="n">
        <v>0.79</v>
      </c>
      <c r="G172" s="4">
        <f>F172/F$2*100</f>
        <v/>
      </c>
      <c r="H172" s="5">
        <f>AVERAGE(F143:F172)</f>
        <v/>
      </c>
      <c r="I172" s="5">
        <f>SLOPE(F$2:F$731,$A$2:$A$731)*$A172+INTERCEPT(F$2:F$731,$A$2:$A$731)</f>
        <v/>
      </c>
      <c r="J172" s="6" t="inlineStr"/>
    </row>
    <row r="173">
      <c r="A173" s="2" t="n">
        <v>45463</v>
      </c>
      <c r="B173" s="3" t="n">
        <v>81.70999999999999</v>
      </c>
      <c r="C173" s="4">
        <f>B173/B$2*100</f>
        <v/>
      </c>
      <c r="D173" s="5">
        <f>AVERAGE(B144:B173)</f>
        <v/>
      </c>
      <c r="E173" s="5">
        <f>SLOPE(B$2:B$731,$A$2:$A$731)*$A173+INTERCEPT(B$2:B$731,$A$2:$A$731)</f>
        <v/>
      </c>
      <c r="F173" s="3" t="n">
        <v>0.79</v>
      </c>
      <c r="G173" s="4">
        <f>F173/F$2*100</f>
        <v/>
      </c>
      <c r="H173" s="5">
        <f>AVERAGE(F144:F173)</f>
        <v/>
      </c>
      <c r="I173" s="5">
        <f>SLOPE(F$2:F$731,$A$2:$A$731)*$A173+INTERCEPT(F$2:F$731,$A$2:$A$731)</f>
        <v/>
      </c>
      <c r="J173" s="6" t="inlineStr"/>
    </row>
    <row r="174">
      <c r="A174" s="2" t="n">
        <v>45464</v>
      </c>
      <c r="B174" s="3" t="n">
        <v>81.72</v>
      </c>
      <c r="C174" s="4">
        <f>B174/B$2*100</f>
        <v/>
      </c>
      <c r="D174" s="5">
        <f>AVERAGE(B145:B174)</f>
        <v/>
      </c>
      <c r="E174" s="5">
        <f>SLOPE(B$2:B$731,$A$2:$A$731)*$A174+INTERCEPT(B$2:B$731,$A$2:$A$731)</f>
        <v/>
      </c>
      <c r="F174" s="3" t="n">
        <v>0.79</v>
      </c>
      <c r="G174" s="4">
        <f>F174/F$2*100</f>
        <v/>
      </c>
      <c r="H174" s="5">
        <f>AVERAGE(F145:F174)</f>
        <v/>
      </c>
      <c r="I174" s="5">
        <f>SLOPE(F$2:F$731,$A$2:$A$731)*$A174+INTERCEPT(F$2:F$731,$A$2:$A$731)</f>
        <v/>
      </c>
      <c r="J174" s="6" t="inlineStr"/>
    </row>
    <row r="175">
      <c r="A175" s="2" t="n">
        <v>45465</v>
      </c>
      <c r="B175" s="3" t="n">
        <v>81.73</v>
      </c>
      <c r="C175" s="4">
        <f>B175/B$2*100</f>
        <v/>
      </c>
      <c r="D175" s="5">
        <f>AVERAGE(B146:B175)</f>
        <v/>
      </c>
      <c r="E175" s="5">
        <f>SLOPE(B$2:B$731,$A$2:$A$731)*$A175+INTERCEPT(B$2:B$731,$A$2:$A$731)</f>
        <v/>
      </c>
      <c r="F175" s="3" t="n">
        <v>0.79</v>
      </c>
      <c r="G175" s="4">
        <f>F175/F$2*100</f>
        <v/>
      </c>
      <c r="H175" s="5">
        <f>AVERAGE(F146:F175)</f>
        <v/>
      </c>
      <c r="I175" s="5">
        <f>SLOPE(F$2:F$731,$A$2:$A$731)*$A175+INTERCEPT(F$2:F$731,$A$2:$A$731)</f>
        <v/>
      </c>
      <c r="J175" s="6" t="inlineStr">
        <is>
          <t>yes</t>
        </is>
      </c>
    </row>
    <row r="176">
      <c r="A176" s="2" t="n">
        <v>45466</v>
      </c>
      <c r="B176" s="3" t="n">
        <v>81.73999999999999</v>
      </c>
      <c r="C176" s="4">
        <f>B176/B$2*100</f>
        <v/>
      </c>
      <c r="D176" s="5">
        <f>AVERAGE(B147:B176)</f>
        <v/>
      </c>
      <c r="E176" s="5">
        <f>SLOPE(B$2:B$731,$A$2:$A$731)*$A176+INTERCEPT(B$2:B$731,$A$2:$A$731)</f>
        <v/>
      </c>
      <c r="F176" s="3" t="n">
        <v>0.79</v>
      </c>
      <c r="G176" s="4">
        <f>F176/F$2*100</f>
        <v/>
      </c>
      <c r="H176" s="5">
        <f>AVERAGE(F147:F176)</f>
        <v/>
      </c>
      <c r="I176" s="5">
        <f>SLOPE(F$2:F$731,$A$2:$A$731)*$A176+INTERCEPT(F$2:F$731,$A$2:$A$731)</f>
        <v/>
      </c>
      <c r="J176" s="6" t="inlineStr">
        <is>
          <t>yes</t>
        </is>
      </c>
    </row>
    <row r="177">
      <c r="A177" s="2" t="n">
        <v>45467</v>
      </c>
      <c r="B177" s="3" t="n">
        <v>81.75</v>
      </c>
      <c r="C177" s="4">
        <f>B177/B$2*100</f>
        <v/>
      </c>
      <c r="D177" s="5">
        <f>AVERAGE(B148:B177)</f>
        <v/>
      </c>
      <c r="E177" s="5">
        <f>SLOPE(B$2:B$731,$A$2:$A$731)*$A177+INTERCEPT(B$2:B$731,$A$2:$A$731)</f>
        <v/>
      </c>
      <c r="F177" s="3" t="n">
        <v>0.79</v>
      </c>
      <c r="G177" s="4">
        <f>F177/F$2*100</f>
        <v/>
      </c>
      <c r="H177" s="5">
        <f>AVERAGE(F148:F177)</f>
        <v/>
      </c>
      <c r="I177" s="5">
        <f>SLOPE(F$2:F$731,$A$2:$A$731)*$A177+INTERCEPT(F$2:F$731,$A$2:$A$731)</f>
        <v/>
      </c>
      <c r="J177" s="6" t="inlineStr"/>
    </row>
    <row r="178">
      <c r="A178" s="2" t="n">
        <v>45468</v>
      </c>
      <c r="B178" s="3" t="n">
        <v>81.76000000000001</v>
      </c>
      <c r="C178" s="4">
        <f>B178/B$2*100</f>
        <v/>
      </c>
      <c r="D178" s="5">
        <f>AVERAGE(B149:B178)</f>
        <v/>
      </c>
      <c r="E178" s="5">
        <f>SLOPE(B$2:B$731,$A$2:$A$731)*$A178+INTERCEPT(B$2:B$731,$A$2:$A$731)</f>
        <v/>
      </c>
      <c r="F178" s="3" t="n">
        <v>0.79</v>
      </c>
      <c r="G178" s="4">
        <f>F178/F$2*100</f>
        <v/>
      </c>
      <c r="H178" s="5">
        <f>AVERAGE(F149:F178)</f>
        <v/>
      </c>
      <c r="I178" s="5">
        <f>SLOPE(F$2:F$731,$A$2:$A$731)*$A178+INTERCEPT(F$2:F$731,$A$2:$A$731)</f>
        <v/>
      </c>
      <c r="J178" s="6" t="inlineStr"/>
    </row>
    <row r="179">
      <c r="A179" s="2" t="n">
        <v>45469</v>
      </c>
      <c r="B179" s="3" t="n">
        <v>81.77</v>
      </c>
      <c r="C179" s="4">
        <f>B179/B$2*100</f>
        <v/>
      </c>
      <c r="D179" s="5">
        <f>AVERAGE(B150:B179)</f>
        <v/>
      </c>
      <c r="E179" s="5">
        <f>SLOPE(B$2:B$731,$A$2:$A$731)*$A179+INTERCEPT(B$2:B$731,$A$2:$A$731)</f>
        <v/>
      </c>
      <c r="F179" s="3" t="n">
        <v>0.79</v>
      </c>
      <c r="G179" s="4">
        <f>F179/F$2*100</f>
        <v/>
      </c>
      <c r="H179" s="5">
        <f>AVERAGE(F150:F179)</f>
        <v/>
      </c>
      <c r="I179" s="5">
        <f>SLOPE(F$2:F$731,$A$2:$A$731)*$A179+INTERCEPT(F$2:F$731,$A$2:$A$731)</f>
        <v/>
      </c>
      <c r="J179" s="6" t="inlineStr"/>
    </row>
    <row r="180">
      <c r="A180" s="2" t="n">
        <v>45470</v>
      </c>
      <c r="B180" s="3" t="n">
        <v>81.78</v>
      </c>
      <c r="C180" s="4">
        <f>B180/B$2*100</f>
        <v/>
      </c>
      <c r="D180" s="5">
        <f>AVERAGE(B151:B180)</f>
        <v/>
      </c>
      <c r="E180" s="5">
        <f>SLOPE(B$2:B$731,$A$2:$A$731)*$A180+INTERCEPT(B$2:B$731,$A$2:$A$731)</f>
        <v/>
      </c>
      <c r="F180" s="3" t="n">
        <v>0.79</v>
      </c>
      <c r="G180" s="4">
        <f>F180/F$2*100</f>
        <v/>
      </c>
      <c r="H180" s="5">
        <f>AVERAGE(F151:F180)</f>
        <v/>
      </c>
      <c r="I180" s="5">
        <f>SLOPE(F$2:F$731,$A$2:$A$731)*$A180+INTERCEPT(F$2:F$731,$A$2:$A$731)</f>
        <v/>
      </c>
      <c r="J180" s="6" t="inlineStr"/>
    </row>
    <row r="181">
      <c r="A181" s="2" t="n">
        <v>45471</v>
      </c>
      <c r="B181" s="3" t="n">
        <v>81.79000000000001</v>
      </c>
      <c r="C181" s="4">
        <f>B181/B$2*100</f>
        <v/>
      </c>
      <c r="D181" s="5">
        <f>AVERAGE(B152:B181)</f>
        <v/>
      </c>
      <c r="E181" s="5">
        <f>SLOPE(B$2:B$731,$A$2:$A$731)*$A181+INTERCEPT(B$2:B$731,$A$2:$A$731)</f>
        <v/>
      </c>
      <c r="F181" s="3" t="n">
        <v>0.79</v>
      </c>
      <c r="G181" s="4">
        <f>F181/F$2*100</f>
        <v/>
      </c>
      <c r="H181" s="5">
        <f>AVERAGE(F152:F181)</f>
        <v/>
      </c>
      <c r="I181" s="5">
        <f>SLOPE(F$2:F$731,$A$2:$A$731)*$A181+INTERCEPT(F$2:F$731,$A$2:$A$731)</f>
        <v/>
      </c>
      <c r="J181" s="6" t="inlineStr"/>
    </row>
    <row r="182">
      <c r="A182" s="2" t="n">
        <v>45472</v>
      </c>
      <c r="B182" s="3" t="n">
        <v>81.8</v>
      </c>
      <c r="C182" s="4">
        <f>B182/B$2*100</f>
        <v/>
      </c>
      <c r="D182" s="5">
        <f>AVERAGE(B153:B182)</f>
        <v/>
      </c>
      <c r="E182" s="5">
        <f>SLOPE(B$2:B$731,$A$2:$A$731)*$A182+INTERCEPT(B$2:B$731,$A$2:$A$731)</f>
        <v/>
      </c>
      <c r="F182" s="3" t="n">
        <v>0.79</v>
      </c>
      <c r="G182" s="4">
        <f>F182/F$2*100</f>
        <v/>
      </c>
      <c r="H182" s="5">
        <f>AVERAGE(F153:F182)</f>
        <v/>
      </c>
      <c r="I182" s="5">
        <f>SLOPE(F$2:F$731,$A$2:$A$731)*$A182+INTERCEPT(F$2:F$731,$A$2:$A$731)</f>
        <v/>
      </c>
      <c r="J182" s="6" t="inlineStr">
        <is>
          <t>yes</t>
        </is>
      </c>
    </row>
    <row r="183">
      <c r="A183" s="2" t="n">
        <v>45473</v>
      </c>
      <c r="B183" s="3" t="n">
        <v>81.81</v>
      </c>
      <c r="C183" s="4">
        <f>B183/B$2*100</f>
        <v/>
      </c>
      <c r="D183" s="5">
        <f>AVERAGE(B154:B183)</f>
        <v/>
      </c>
      <c r="E183" s="5">
        <f>SLOPE(B$2:B$731,$A$2:$A$731)*$A183+INTERCEPT(B$2:B$731,$A$2:$A$731)</f>
        <v/>
      </c>
      <c r="F183" s="3" t="n">
        <v>0.79</v>
      </c>
      <c r="G183" s="4">
        <f>F183/F$2*100</f>
        <v/>
      </c>
      <c r="H183" s="5">
        <f>AVERAGE(F154:F183)</f>
        <v/>
      </c>
      <c r="I183" s="5">
        <f>SLOPE(F$2:F$731,$A$2:$A$731)*$A183+INTERCEPT(F$2:F$731,$A$2:$A$731)</f>
        <v/>
      </c>
      <c r="J183" s="6" t="inlineStr">
        <is>
          <t>yes</t>
        </is>
      </c>
    </row>
    <row r="184">
      <c r="A184" s="2" t="n">
        <v>45474</v>
      </c>
      <c r="B184" s="3" t="n">
        <v>81.81999999999999</v>
      </c>
      <c r="C184" s="4">
        <f>B184/B$2*100</f>
        <v/>
      </c>
      <c r="D184" s="5">
        <f>AVERAGE(B155:B184)</f>
        <v/>
      </c>
      <c r="E184" s="5">
        <f>SLOPE(B$2:B$731,$A$2:$A$731)*$A184+INTERCEPT(B$2:B$731,$A$2:$A$731)</f>
        <v/>
      </c>
      <c r="F184" s="3" t="n">
        <v>0.79</v>
      </c>
      <c r="G184" s="4">
        <f>F184/F$2*100</f>
        <v/>
      </c>
      <c r="H184" s="5">
        <f>AVERAGE(F155:F184)</f>
        <v/>
      </c>
      <c r="I184" s="5">
        <f>SLOPE(F$2:F$731,$A$2:$A$731)*$A184+INTERCEPT(F$2:F$731,$A$2:$A$731)</f>
        <v/>
      </c>
      <c r="J184" s="6" t="inlineStr"/>
    </row>
    <row r="185">
      <c r="A185" s="2" t="n">
        <v>45475</v>
      </c>
      <c r="B185" s="3" t="n">
        <v>81.83</v>
      </c>
      <c r="C185" s="4">
        <f>B185/B$2*100</f>
        <v/>
      </c>
      <c r="D185" s="5">
        <f>AVERAGE(B156:B185)</f>
        <v/>
      </c>
      <c r="E185" s="5">
        <f>SLOPE(B$2:B$731,$A$2:$A$731)*$A185+INTERCEPT(B$2:B$731,$A$2:$A$731)</f>
        <v/>
      </c>
      <c r="F185" s="3" t="n">
        <v>0.79</v>
      </c>
      <c r="G185" s="4">
        <f>F185/F$2*100</f>
        <v/>
      </c>
      <c r="H185" s="5">
        <f>AVERAGE(F156:F185)</f>
        <v/>
      </c>
      <c r="I185" s="5">
        <f>SLOPE(F$2:F$731,$A$2:$A$731)*$A185+INTERCEPT(F$2:F$731,$A$2:$A$731)</f>
        <v/>
      </c>
      <c r="J185" s="6" t="inlineStr"/>
    </row>
    <row r="186">
      <c r="A186" s="2" t="n">
        <v>45476</v>
      </c>
      <c r="B186" s="3" t="n">
        <v>81.84</v>
      </c>
      <c r="C186" s="4">
        <f>B186/B$2*100</f>
        <v/>
      </c>
      <c r="D186" s="5">
        <f>AVERAGE(B157:B186)</f>
        <v/>
      </c>
      <c r="E186" s="5">
        <f>SLOPE(B$2:B$731,$A$2:$A$731)*$A186+INTERCEPT(B$2:B$731,$A$2:$A$731)</f>
        <v/>
      </c>
      <c r="F186" s="3" t="n">
        <v>0.79</v>
      </c>
      <c r="G186" s="4">
        <f>F186/F$2*100</f>
        <v/>
      </c>
      <c r="H186" s="5">
        <f>AVERAGE(F157:F186)</f>
        <v/>
      </c>
      <c r="I186" s="5">
        <f>SLOPE(F$2:F$731,$A$2:$A$731)*$A186+INTERCEPT(F$2:F$731,$A$2:$A$731)</f>
        <v/>
      </c>
      <c r="J186" s="6" t="inlineStr"/>
    </row>
    <row r="187">
      <c r="A187" s="2" t="n">
        <v>45477</v>
      </c>
      <c r="B187" s="3" t="n">
        <v>81.84999999999999</v>
      </c>
      <c r="C187" s="4">
        <f>B187/B$2*100</f>
        <v/>
      </c>
      <c r="D187" s="5">
        <f>AVERAGE(B158:B187)</f>
        <v/>
      </c>
      <c r="E187" s="5">
        <f>SLOPE(B$2:B$731,$A$2:$A$731)*$A187+INTERCEPT(B$2:B$731,$A$2:$A$731)</f>
        <v/>
      </c>
      <c r="F187" s="3" t="n">
        <v>0.79</v>
      </c>
      <c r="G187" s="4">
        <f>F187/F$2*100</f>
        <v/>
      </c>
      <c r="H187" s="5">
        <f>AVERAGE(F158:F187)</f>
        <v/>
      </c>
      <c r="I187" s="5">
        <f>SLOPE(F$2:F$731,$A$2:$A$731)*$A187+INTERCEPT(F$2:F$731,$A$2:$A$731)</f>
        <v/>
      </c>
      <c r="J187" s="6" t="inlineStr"/>
    </row>
    <row r="188">
      <c r="A188" s="2" t="n">
        <v>45478</v>
      </c>
      <c r="B188" s="3" t="n">
        <v>81.86</v>
      </c>
      <c r="C188" s="4">
        <f>B188/B$2*100</f>
        <v/>
      </c>
      <c r="D188" s="5">
        <f>AVERAGE(B159:B188)</f>
        <v/>
      </c>
      <c r="E188" s="5">
        <f>SLOPE(B$2:B$731,$A$2:$A$731)*$A188+INTERCEPT(B$2:B$731,$A$2:$A$731)</f>
        <v/>
      </c>
      <c r="F188" s="3" t="n">
        <v>0.79</v>
      </c>
      <c r="G188" s="4">
        <f>F188/F$2*100</f>
        <v/>
      </c>
      <c r="H188" s="5">
        <f>AVERAGE(F159:F188)</f>
        <v/>
      </c>
      <c r="I188" s="5">
        <f>SLOPE(F$2:F$731,$A$2:$A$731)*$A188+INTERCEPT(F$2:F$731,$A$2:$A$731)</f>
        <v/>
      </c>
      <c r="J188" s="6" t="inlineStr"/>
    </row>
    <row r="189">
      <c r="A189" s="2" t="n">
        <v>45479</v>
      </c>
      <c r="B189" s="3" t="n">
        <v>81.87</v>
      </c>
      <c r="C189" s="4">
        <f>B189/B$2*100</f>
        <v/>
      </c>
      <c r="D189" s="5">
        <f>AVERAGE(B160:B189)</f>
        <v/>
      </c>
      <c r="E189" s="5">
        <f>SLOPE(B$2:B$731,$A$2:$A$731)*$A189+INTERCEPT(B$2:B$731,$A$2:$A$731)</f>
        <v/>
      </c>
      <c r="F189" s="3" t="n">
        <v>0.79</v>
      </c>
      <c r="G189" s="4">
        <f>F189/F$2*100</f>
        <v/>
      </c>
      <c r="H189" s="5">
        <f>AVERAGE(F160:F189)</f>
        <v/>
      </c>
      <c r="I189" s="5">
        <f>SLOPE(F$2:F$731,$A$2:$A$731)*$A189+INTERCEPT(F$2:F$731,$A$2:$A$731)</f>
        <v/>
      </c>
      <c r="J189" s="6" t="inlineStr">
        <is>
          <t>yes</t>
        </is>
      </c>
    </row>
    <row r="190">
      <c r="A190" s="2" t="n">
        <v>45480</v>
      </c>
      <c r="B190" s="3" t="n">
        <v>81.88</v>
      </c>
      <c r="C190" s="4">
        <f>B190/B$2*100</f>
        <v/>
      </c>
      <c r="D190" s="5">
        <f>AVERAGE(B161:B190)</f>
        <v/>
      </c>
      <c r="E190" s="5">
        <f>SLOPE(B$2:B$731,$A$2:$A$731)*$A190+INTERCEPT(B$2:B$731,$A$2:$A$731)</f>
        <v/>
      </c>
      <c r="F190" s="3" t="n">
        <v>0.79</v>
      </c>
      <c r="G190" s="4">
        <f>F190/F$2*100</f>
        <v/>
      </c>
      <c r="H190" s="5">
        <f>AVERAGE(F161:F190)</f>
        <v/>
      </c>
      <c r="I190" s="5">
        <f>SLOPE(F$2:F$731,$A$2:$A$731)*$A190+INTERCEPT(F$2:F$731,$A$2:$A$731)</f>
        <v/>
      </c>
      <c r="J190" s="6" t="inlineStr">
        <is>
          <t>yes</t>
        </is>
      </c>
    </row>
    <row r="191">
      <c r="A191" s="2" t="n">
        <v>45481</v>
      </c>
      <c r="B191" s="3" t="n">
        <v>81.89</v>
      </c>
      <c r="C191" s="4">
        <f>B191/B$2*100</f>
        <v/>
      </c>
      <c r="D191" s="5">
        <f>AVERAGE(B162:B191)</f>
        <v/>
      </c>
      <c r="E191" s="5">
        <f>SLOPE(B$2:B$731,$A$2:$A$731)*$A191+INTERCEPT(B$2:B$731,$A$2:$A$731)</f>
        <v/>
      </c>
      <c r="F191" s="3" t="n">
        <v>0.79</v>
      </c>
      <c r="G191" s="4">
        <f>F191/F$2*100</f>
        <v/>
      </c>
      <c r="H191" s="5">
        <f>AVERAGE(F162:F191)</f>
        <v/>
      </c>
      <c r="I191" s="5">
        <f>SLOPE(F$2:F$731,$A$2:$A$731)*$A191+INTERCEPT(F$2:F$731,$A$2:$A$731)</f>
        <v/>
      </c>
      <c r="J191" s="6" t="inlineStr"/>
    </row>
    <row r="192">
      <c r="A192" s="2" t="n">
        <v>45482</v>
      </c>
      <c r="B192" s="3" t="n">
        <v>81.90000000000001</v>
      </c>
      <c r="C192" s="4">
        <f>B192/B$2*100</f>
        <v/>
      </c>
      <c r="D192" s="5">
        <f>AVERAGE(B163:B192)</f>
        <v/>
      </c>
      <c r="E192" s="5">
        <f>SLOPE(B$2:B$731,$A$2:$A$731)*$A192+INTERCEPT(B$2:B$731,$A$2:$A$731)</f>
        <v/>
      </c>
      <c r="F192" s="3" t="n">
        <v>0.79</v>
      </c>
      <c r="G192" s="4">
        <f>F192/F$2*100</f>
        <v/>
      </c>
      <c r="H192" s="5">
        <f>AVERAGE(F163:F192)</f>
        <v/>
      </c>
      <c r="I192" s="5">
        <f>SLOPE(F$2:F$731,$A$2:$A$731)*$A192+INTERCEPT(F$2:F$731,$A$2:$A$731)</f>
        <v/>
      </c>
      <c r="J192" s="6" t="inlineStr"/>
    </row>
    <row r="193">
      <c r="A193" s="2" t="n">
        <v>45483</v>
      </c>
      <c r="B193" s="3" t="n">
        <v>81.91</v>
      </c>
      <c r="C193" s="4">
        <f>B193/B$2*100</f>
        <v/>
      </c>
      <c r="D193" s="5">
        <f>AVERAGE(B164:B193)</f>
        <v/>
      </c>
      <c r="E193" s="5">
        <f>SLOPE(B$2:B$731,$A$2:$A$731)*$A193+INTERCEPT(B$2:B$731,$A$2:$A$731)</f>
        <v/>
      </c>
      <c r="F193" s="3" t="n">
        <v>0.79</v>
      </c>
      <c r="G193" s="4">
        <f>F193/F$2*100</f>
        <v/>
      </c>
      <c r="H193" s="5">
        <f>AVERAGE(F164:F193)</f>
        <v/>
      </c>
      <c r="I193" s="5">
        <f>SLOPE(F$2:F$731,$A$2:$A$731)*$A193+INTERCEPT(F$2:F$731,$A$2:$A$731)</f>
        <v/>
      </c>
      <c r="J193" s="6" t="inlineStr"/>
    </row>
    <row r="194">
      <c r="A194" s="2" t="n">
        <v>45484</v>
      </c>
      <c r="B194" s="3" t="n">
        <v>81.92</v>
      </c>
      <c r="C194" s="4">
        <f>B194/B$2*100</f>
        <v/>
      </c>
      <c r="D194" s="5">
        <f>AVERAGE(B165:B194)</f>
        <v/>
      </c>
      <c r="E194" s="5">
        <f>SLOPE(B$2:B$731,$A$2:$A$731)*$A194+INTERCEPT(B$2:B$731,$A$2:$A$731)</f>
        <v/>
      </c>
      <c r="F194" s="3" t="n">
        <v>0.79</v>
      </c>
      <c r="G194" s="4">
        <f>F194/F$2*100</f>
        <v/>
      </c>
      <c r="H194" s="5">
        <f>AVERAGE(F165:F194)</f>
        <v/>
      </c>
      <c r="I194" s="5">
        <f>SLOPE(F$2:F$731,$A$2:$A$731)*$A194+INTERCEPT(F$2:F$731,$A$2:$A$731)</f>
        <v/>
      </c>
      <c r="J194" s="6" t="inlineStr"/>
    </row>
    <row r="195">
      <c r="A195" s="2" t="n">
        <v>45485</v>
      </c>
      <c r="B195" s="3" t="n">
        <v>81.93000000000001</v>
      </c>
      <c r="C195" s="4">
        <f>B195/B$2*100</f>
        <v/>
      </c>
      <c r="D195" s="5">
        <f>AVERAGE(B166:B195)</f>
        <v/>
      </c>
      <c r="E195" s="5">
        <f>SLOPE(B$2:B$731,$A$2:$A$731)*$A195+INTERCEPT(B$2:B$731,$A$2:$A$731)</f>
        <v/>
      </c>
      <c r="F195" s="3" t="n">
        <v>0.79</v>
      </c>
      <c r="G195" s="4">
        <f>F195/F$2*100</f>
        <v/>
      </c>
      <c r="H195" s="5">
        <f>AVERAGE(F166:F195)</f>
        <v/>
      </c>
      <c r="I195" s="5">
        <f>SLOPE(F$2:F$731,$A$2:$A$731)*$A195+INTERCEPT(F$2:F$731,$A$2:$A$731)</f>
        <v/>
      </c>
      <c r="J195" s="6" t="inlineStr"/>
    </row>
    <row r="196">
      <c r="A196" s="2" t="n">
        <v>45486</v>
      </c>
      <c r="B196" s="3" t="n">
        <v>81.94</v>
      </c>
      <c r="C196" s="4">
        <f>B196/B$2*100</f>
        <v/>
      </c>
      <c r="D196" s="5">
        <f>AVERAGE(B167:B196)</f>
        <v/>
      </c>
      <c r="E196" s="5">
        <f>SLOPE(B$2:B$731,$A$2:$A$731)*$A196+INTERCEPT(B$2:B$731,$A$2:$A$731)</f>
        <v/>
      </c>
      <c r="F196" s="3" t="n">
        <v>0.79</v>
      </c>
      <c r="G196" s="4">
        <f>F196/F$2*100</f>
        <v/>
      </c>
      <c r="H196" s="5">
        <f>AVERAGE(F167:F196)</f>
        <v/>
      </c>
      <c r="I196" s="5">
        <f>SLOPE(F$2:F$731,$A$2:$A$731)*$A196+INTERCEPT(F$2:F$731,$A$2:$A$731)</f>
        <v/>
      </c>
      <c r="J196" s="6" t="inlineStr">
        <is>
          <t>yes</t>
        </is>
      </c>
    </row>
    <row r="197">
      <c r="A197" s="2" t="n">
        <v>45487</v>
      </c>
      <c r="B197" s="3" t="n">
        <v>81.95</v>
      </c>
      <c r="C197" s="4">
        <f>B197/B$2*100</f>
        <v/>
      </c>
      <c r="D197" s="5">
        <f>AVERAGE(B168:B197)</f>
        <v/>
      </c>
      <c r="E197" s="5">
        <f>SLOPE(B$2:B$731,$A$2:$A$731)*$A197+INTERCEPT(B$2:B$731,$A$2:$A$731)</f>
        <v/>
      </c>
      <c r="F197" s="3" t="n">
        <v>0.79</v>
      </c>
      <c r="G197" s="4">
        <f>F197/F$2*100</f>
        <v/>
      </c>
      <c r="H197" s="5">
        <f>AVERAGE(F168:F197)</f>
        <v/>
      </c>
      <c r="I197" s="5">
        <f>SLOPE(F$2:F$731,$A$2:$A$731)*$A197+INTERCEPT(F$2:F$731,$A$2:$A$731)</f>
        <v/>
      </c>
      <c r="J197" s="6" t="inlineStr">
        <is>
          <t>yes</t>
        </is>
      </c>
    </row>
    <row r="198">
      <c r="A198" s="2" t="n">
        <v>45488</v>
      </c>
      <c r="B198" s="3" t="n">
        <v>81.95999999999999</v>
      </c>
      <c r="C198" s="4">
        <f>B198/B$2*100</f>
        <v/>
      </c>
      <c r="D198" s="5">
        <f>AVERAGE(B169:B198)</f>
        <v/>
      </c>
      <c r="E198" s="5">
        <f>SLOPE(B$2:B$731,$A$2:$A$731)*$A198+INTERCEPT(B$2:B$731,$A$2:$A$731)</f>
        <v/>
      </c>
      <c r="F198" s="3" t="n">
        <v>0.79</v>
      </c>
      <c r="G198" s="4">
        <f>F198/F$2*100</f>
        <v/>
      </c>
      <c r="H198" s="5">
        <f>AVERAGE(F169:F198)</f>
        <v/>
      </c>
      <c r="I198" s="5">
        <f>SLOPE(F$2:F$731,$A$2:$A$731)*$A198+INTERCEPT(F$2:F$731,$A$2:$A$731)</f>
        <v/>
      </c>
      <c r="J198" s="6" t="inlineStr"/>
    </row>
    <row r="199">
      <c r="A199" s="2" t="n">
        <v>45489</v>
      </c>
      <c r="B199" s="3" t="n">
        <v>81.97</v>
      </c>
      <c r="C199" s="4">
        <f>B199/B$2*100</f>
        <v/>
      </c>
      <c r="D199" s="5">
        <f>AVERAGE(B170:B199)</f>
        <v/>
      </c>
      <c r="E199" s="5">
        <f>SLOPE(B$2:B$731,$A$2:$A$731)*$A199+INTERCEPT(B$2:B$731,$A$2:$A$731)</f>
        <v/>
      </c>
      <c r="F199" s="3" t="n">
        <v>0.79</v>
      </c>
      <c r="G199" s="4">
        <f>F199/F$2*100</f>
        <v/>
      </c>
      <c r="H199" s="5">
        <f>AVERAGE(F170:F199)</f>
        <v/>
      </c>
      <c r="I199" s="5">
        <f>SLOPE(F$2:F$731,$A$2:$A$731)*$A199+INTERCEPT(F$2:F$731,$A$2:$A$731)</f>
        <v/>
      </c>
      <c r="J199" s="6" t="inlineStr"/>
    </row>
    <row r="200">
      <c r="A200" s="2" t="n">
        <v>45490</v>
      </c>
      <c r="B200" s="3" t="n">
        <v>81.98</v>
      </c>
      <c r="C200" s="4">
        <f>B200/B$2*100</f>
        <v/>
      </c>
      <c r="D200" s="5">
        <f>AVERAGE(B171:B200)</f>
        <v/>
      </c>
      <c r="E200" s="5">
        <f>SLOPE(B$2:B$731,$A$2:$A$731)*$A200+INTERCEPT(B$2:B$731,$A$2:$A$731)</f>
        <v/>
      </c>
      <c r="F200" s="3" t="n">
        <v>0.79</v>
      </c>
      <c r="G200" s="4">
        <f>F200/F$2*100</f>
        <v/>
      </c>
      <c r="H200" s="5">
        <f>AVERAGE(F171:F200)</f>
        <v/>
      </c>
      <c r="I200" s="5">
        <f>SLOPE(F$2:F$731,$A$2:$A$731)*$A200+INTERCEPT(F$2:F$731,$A$2:$A$731)</f>
        <v/>
      </c>
      <c r="J200" s="6" t="inlineStr"/>
    </row>
    <row r="201">
      <c r="A201" s="2" t="n">
        <v>45491</v>
      </c>
      <c r="B201" s="3" t="n">
        <v>81.98999999999999</v>
      </c>
      <c r="C201" s="4">
        <f>B201/B$2*100</f>
        <v/>
      </c>
      <c r="D201" s="5">
        <f>AVERAGE(B172:B201)</f>
        <v/>
      </c>
      <c r="E201" s="5">
        <f>SLOPE(B$2:B$731,$A$2:$A$731)*$A201+INTERCEPT(B$2:B$731,$A$2:$A$731)</f>
        <v/>
      </c>
      <c r="F201" s="3" t="n">
        <v>0.79</v>
      </c>
      <c r="G201" s="4">
        <f>F201/F$2*100</f>
        <v/>
      </c>
      <c r="H201" s="5">
        <f>AVERAGE(F172:F201)</f>
        <v/>
      </c>
      <c r="I201" s="5">
        <f>SLOPE(F$2:F$731,$A$2:$A$731)*$A201+INTERCEPT(F$2:F$731,$A$2:$A$731)</f>
        <v/>
      </c>
      <c r="J201" s="6" t="inlineStr"/>
    </row>
    <row r="202">
      <c r="A202" s="2" t="n">
        <v>45492</v>
      </c>
      <c r="B202" s="3" t="n">
        <v>82</v>
      </c>
      <c r="C202" s="4">
        <f>B202/B$2*100</f>
        <v/>
      </c>
      <c r="D202" s="5">
        <f>AVERAGE(B173:B202)</f>
        <v/>
      </c>
      <c r="E202" s="5">
        <f>SLOPE(B$2:B$731,$A$2:$A$731)*$A202+INTERCEPT(B$2:B$731,$A$2:$A$731)</f>
        <v/>
      </c>
      <c r="F202" s="3" t="n">
        <v>0.79</v>
      </c>
      <c r="G202" s="4">
        <f>F202/F$2*100</f>
        <v/>
      </c>
      <c r="H202" s="5">
        <f>AVERAGE(F173:F202)</f>
        <v/>
      </c>
      <c r="I202" s="5">
        <f>SLOPE(F$2:F$731,$A$2:$A$731)*$A202+INTERCEPT(F$2:F$731,$A$2:$A$731)</f>
        <v/>
      </c>
      <c r="J202" s="6" t="inlineStr"/>
    </row>
    <row r="203">
      <c r="A203" s="2" t="n">
        <v>45493</v>
      </c>
      <c r="B203" s="3" t="n">
        <v>82.01000000000001</v>
      </c>
      <c r="C203" s="4">
        <f>B203/B$2*100</f>
        <v/>
      </c>
      <c r="D203" s="5">
        <f>AVERAGE(B174:B203)</f>
        <v/>
      </c>
      <c r="E203" s="5">
        <f>SLOPE(B$2:B$731,$A$2:$A$731)*$A203+INTERCEPT(B$2:B$731,$A$2:$A$731)</f>
        <v/>
      </c>
      <c r="F203" s="3" t="n">
        <v>0.79</v>
      </c>
      <c r="G203" s="4">
        <f>F203/F$2*100</f>
        <v/>
      </c>
      <c r="H203" s="5">
        <f>AVERAGE(F174:F203)</f>
        <v/>
      </c>
      <c r="I203" s="5">
        <f>SLOPE(F$2:F$731,$A$2:$A$731)*$A203+INTERCEPT(F$2:F$731,$A$2:$A$731)</f>
        <v/>
      </c>
      <c r="J203" s="6" t="inlineStr">
        <is>
          <t>yes</t>
        </is>
      </c>
    </row>
    <row r="204">
      <c r="A204" s="2" t="n">
        <v>45494</v>
      </c>
      <c r="B204" s="3" t="n">
        <v>82.02</v>
      </c>
      <c r="C204" s="4">
        <f>B204/B$2*100</f>
        <v/>
      </c>
      <c r="D204" s="5">
        <f>AVERAGE(B175:B204)</f>
        <v/>
      </c>
      <c r="E204" s="5">
        <f>SLOPE(B$2:B$731,$A$2:$A$731)*$A204+INTERCEPT(B$2:B$731,$A$2:$A$731)</f>
        <v/>
      </c>
      <c r="F204" s="3" t="n">
        <v>0.79</v>
      </c>
      <c r="G204" s="4">
        <f>F204/F$2*100</f>
        <v/>
      </c>
      <c r="H204" s="5">
        <f>AVERAGE(F175:F204)</f>
        <v/>
      </c>
      <c r="I204" s="5">
        <f>SLOPE(F$2:F$731,$A$2:$A$731)*$A204+INTERCEPT(F$2:F$731,$A$2:$A$731)</f>
        <v/>
      </c>
      <c r="J204" s="6" t="inlineStr">
        <is>
          <t>yes</t>
        </is>
      </c>
    </row>
    <row r="205">
      <c r="A205" s="2" t="n">
        <v>45495</v>
      </c>
      <c r="B205" s="3" t="n">
        <v>82.03</v>
      </c>
      <c r="C205" s="4">
        <f>B205/B$2*100</f>
        <v/>
      </c>
      <c r="D205" s="5">
        <f>AVERAGE(B176:B205)</f>
        <v/>
      </c>
      <c r="E205" s="5">
        <f>SLOPE(B$2:B$731,$A$2:$A$731)*$A205+INTERCEPT(B$2:B$731,$A$2:$A$731)</f>
        <v/>
      </c>
      <c r="F205" s="3" t="n">
        <v>0.79</v>
      </c>
      <c r="G205" s="4">
        <f>F205/F$2*100</f>
        <v/>
      </c>
      <c r="H205" s="5">
        <f>AVERAGE(F176:F205)</f>
        <v/>
      </c>
      <c r="I205" s="5">
        <f>SLOPE(F$2:F$731,$A$2:$A$731)*$A205+INTERCEPT(F$2:F$731,$A$2:$A$731)</f>
        <v/>
      </c>
      <c r="J205" s="6" t="inlineStr"/>
    </row>
    <row r="206">
      <c r="A206" s="2" t="n">
        <v>45496</v>
      </c>
      <c r="B206" s="3" t="n">
        <v>82.04000000000001</v>
      </c>
      <c r="C206" s="4">
        <f>B206/B$2*100</f>
        <v/>
      </c>
      <c r="D206" s="5">
        <f>AVERAGE(B177:B206)</f>
        <v/>
      </c>
      <c r="E206" s="5">
        <f>SLOPE(B$2:B$731,$A$2:$A$731)*$A206+INTERCEPT(B$2:B$731,$A$2:$A$731)</f>
        <v/>
      </c>
      <c r="F206" s="3" t="n">
        <v>0.79</v>
      </c>
      <c r="G206" s="4">
        <f>F206/F$2*100</f>
        <v/>
      </c>
      <c r="H206" s="5">
        <f>AVERAGE(F177:F206)</f>
        <v/>
      </c>
      <c r="I206" s="5">
        <f>SLOPE(F$2:F$731,$A$2:$A$731)*$A206+INTERCEPT(F$2:F$731,$A$2:$A$731)</f>
        <v/>
      </c>
      <c r="J206" s="6" t="inlineStr"/>
    </row>
    <row r="207">
      <c r="A207" s="2" t="n">
        <v>45497</v>
      </c>
      <c r="B207" s="3" t="n">
        <v>82.05</v>
      </c>
      <c r="C207" s="4">
        <f>B207/B$2*100</f>
        <v/>
      </c>
      <c r="D207" s="5">
        <f>AVERAGE(B178:B207)</f>
        <v/>
      </c>
      <c r="E207" s="5">
        <f>SLOPE(B$2:B$731,$A$2:$A$731)*$A207+INTERCEPT(B$2:B$731,$A$2:$A$731)</f>
        <v/>
      </c>
      <c r="F207" s="3" t="n">
        <v>0.79</v>
      </c>
      <c r="G207" s="4">
        <f>F207/F$2*100</f>
        <v/>
      </c>
      <c r="H207" s="5">
        <f>AVERAGE(F178:F207)</f>
        <v/>
      </c>
      <c r="I207" s="5">
        <f>SLOPE(F$2:F$731,$A$2:$A$731)*$A207+INTERCEPT(F$2:F$731,$A$2:$A$731)</f>
        <v/>
      </c>
      <c r="J207" s="6" t="inlineStr"/>
    </row>
    <row r="208">
      <c r="A208" s="2" t="n">
        <v>45498</v>
      </c>
      <c r="B208" s="3" t="n">
        <v>82.06</v>
      </c>
      <c r="C208" s="4">
        <f>B208/B$2*100</f>
        <v/>
      </c>
      <c r="D208" s="5">
        <f>AVERAGE(B179:B208)</f>
        <v/>
      </c>
      <c r="E208" s="5">
        <f>SLOPE(B$2:B$731,$A$2:$A$731)*$A208+INTERCEPT(B$2:B$731,$A$2:$A$731)</f>
        <v/>
      </c>
      <c r="F208" s="3" t="n">
        <v>0.79</v>
      </c>
      <c r="G208" s="4">
        <f>F208/F$2*100</f>
        <v/>
      </c>
      <c r="H208" s="5">
        <f>AVERAGE(F179:F208)</f>
        <v/>
      </c>
      <c r="I208" s="5">
        <f>SLOPE(F$2:F$731,$A$2:$A$731)*$A208+INTERCEPT(F$2:F$731,$A$2:$A$731)</f>
        <v/>
      </c>
      <c r="J208" s="6" t="inlineStr"/>
    </row>
    <row r="209">
      <c r="A209" s="2" t="n">
        <v>45499</v>
      </c>
      <c r="B209" s="3" t="n">
        <v>82.06999999999999</v>
      </c>
      <c r="C209" s="4">
        <f>B209/B$2*100</f>
        <v/>
      </c>
      <c r="D209" s="5">
        <f>AVERAGE(B180:B209)</f>
        <v/>
      </c>
      <c r="E209" s="5">
        <f>SLOPE(B$2:B$731,$A$2:$A$731)*$A209+INTERCEPT(B$2:B$731,$A$2:$A$731)</f>
        <v/>
      </c>
      <c r="F209" s="3" t="n">
        <v>0.79</v>
      </c>
      <c r="G209" s="4">
        <f>F209/F$2*100</f>
        <v/>
      </c>
      <c r="H209" s="5">
        <f>AVERAGE(F180:F209)</f>
        <v/>
      </c>
      <c r="I209" s="5">
        <f>SLOPE(F$2:F$731,$A$2:$A$731)*$A209+INTERCEPT(F$2:F$731,$A$2:$A$731)</f>
        <v/>
      </c>
      <c r="J209" s="6" t="inlineStr"/>
    </row>
    <row r="210">
      <c r="A210" s="2" t="n">
        <v>45500</v>
      </c>
      <c r="B210" s="3" t="n">
        <v>82.08</v>
      </c>
      <c r="C210" s="4">
        <f>B210/B$2*100</f>
        <v/>
      </c>
      <c r="D210" s="5">
        <f>AVERAGE(B181:B210)</f>
        <v/>
      </c>
      <c r="E210" s="5">
        <f>SLOPE(B$2:B$731,$A$2:$A$731)*$A210+INTERCEPT(B$2:B$731,$A$2:$A$731)</f>
        <v/>
      </c>
      <c r="F210" s="3" t="n">
        <v>0.79</v>
      </c>
      <c r="G210" s="4">
        <f>F210/F$2*100</f>
        <v/>
      </c>
      <c r="H210" s="5">
        <f>AVERAGE(F181:F210)</f>
        <v/>
      </c>
      <c r="I210" s="5">
        <f>SLOPE(F$2:F$731,$A$2:$A$731)*$A210+INTERCEPT(F$2:F$731,$A$2:$A$731)</f>
        <v/>
      </c>
      <c r="J210" s="6" t="inlineStr">
        <is>
          <t>yes</t>
        </is>
      </c>
    </row>
    <row r="211">
      <c r="A211" s="2" t="n">
        <v>45501</v>
      </c>
      <c r="B211" s="3" t="n">
        <v>82.09</v>
      </c>
      <c r="C211" s="4">
        <f>B211/B$2*100</f>
        <v/>
      </c>
      <c r="D211" s="5">
        <f>AVERAGE(B182:B211)</f>
        <v/>
      </c>
      <c r="E211" s="5">
        <f>SLOPE(B$2:B$731,$A$2:$A$731)*$A211+INTERCEPT(B$2:B$731,$A$2:$A$731)</f>
        <v/>
      </c>
      <c r="F211" s="3" t="n">
        <v>0.79</v>
      </c>
      <c r="G211" s="4">
        <f>F211/F$2*100</f>
        <v/>
      </c>
      <c r="H211" s="5">
        <f>AVERAGE(F182:F211)</f>
        <v/>
      </c>
      <c r="I211" s="5">
        <f>SLOPE(F$2:F$731,$A$2:$A$731)*$A211+INTERCEPT(F$2:F$731,$A$2:$A$731)</f>
        <v/>
      </c>
      <c r="J211" s="6" t="inlineStr">
        <is>
          <t>yes</t>
        </is>
      </c>
    </row>
    <row r="212">
      <c r="A212" s="2" t="n">
        <v>45502</v>
      </c>
      <c r="B212" s="3" t="n">
        <v>82.09999999999999</v>
      </c>
      <c r="C212" s="4">
        <f>B212/B$2*100</f>
        <v/>
      </c>
      <c r="D212" s="5">
        <f>AVERAGE(B183:B212)</f>
        <v/>
      </c>
      <c r="E212" s="5">
        <f>SLOPE(B$2:B$731,$A$2:$A$731)*$A212+INTERCEPT(B$2:B$731,$A$2:$A$731)</f>
        <v/>
      </c>
      <c r="F212" s="3" t="n">
        <v>0.79</v>
      </c>
      <c r="G212" s="4">
        <f>F212/F$2*100</f>
        <v/>
      </c>
      <c r="H212" s="5">
        <f>AVERAGE(F183:F212)</f>
        <v/>
      </c>
      <c r="I212" s="5">
        <f>SLOPE(F$2:F$731,$A$2:$A$731)*$A212+INTERCEPT(F$2:F$731,$A$2:$A$731)</f>
        <v/>
      </c>
      <c r="J212" s="6" t="inlineStr"/>
    </row>
    <row r="213">
      <c r="A213" s="2" t="n">
        <v>45503</v>
      </c>
      <c r="B213" s="3" t="n">
        <v>82.11</v>
      </c>
      <c r="C213" s="4">
        <f>B213/B$2*100</f>
        <v/>
      </c>
      <c r="D213" s="5">
        <f>AVERAGE(B184:B213)</f>
        <v/>
      </c>
      <c r="E213" s="5">
        <f>SLOPE(B$2:B$731,$A$2:$A$731)*$A213+INTERCEPT(B$2:B$731,$A$2:$A$731)</f>
        <v/>
      </c>
      <c r="F213" s="3" t="n">
        <v>0.79</v>
      </c>
      <c r="G213" s="4">
        <f>F213/F$2*100</f>
        <v/>
      </c>
      <c r="H213" s="5">
        <f>AVERAGE(F184:F213)</f>
        <v/>
      </c>
      <c r="I213" s="5">
        <f>SLOPE(F$2:F$731,$A$2:$A$731)*$A213+INTERCEPT(F$2:F$731,$A$2:$A$731)</f>
        <v/>
      </c>
      <c r="J213" s="6" t="inlineStr"/>
    </row>
    <row r="214">
      <c r="A214" s="2" t="n">
        <v>45504</v>
      </c>
      <c r="B214" s="3" t="n">
        <v>82.12</v>
      </c>
      <c r="C214" s="4">
        <f>B214/B$2*100</f>
        <v/>
      </c>
      <c r="D214" s="5">
        <f>AVERAGE(B185:B214)</f>
        <v/>
      </c>
      <c r="E214" s="5">
        <f>SLOPE(B$2:B$731,$A$2:$A$731)*$A214+INTERCEPT(B$2:B$731,$A$2:$A$731)</f>
        <v/>
      </c>
      <c r="F214" s="3" t="n">
        <v>0.79</v>
      </c>
      <c r="G214" s="4">
        <f>F214/F$2*100</f>
        <v/>
      </c>
      <c r="H214" s="5">
        <f>AVERAGE(F185:F214)</f>
        <v/>
      </c>
      <c r="I214" s="5">
        <f>SLOPE(F$2:F$731,$A$2:$A$731)*$A214+INTERCEPT(F$2:F$731,$A$2:$A$731)</f>
        <v/>
      </c>
      <c r="J214" s="6" t="inlineStr"/>
    </row>
    <row r="215">
      <c r="A215" s="2" t="n">
        <v>45505</v>
      </c>
      <c r="B215" s="3" t="n">
        <v>82.13</v>
      </c>
      <c r="C215" s="4">
        <f>B215/B$2*100</f>
        <v/>
      </c>
      <c r="D215" s="5">
        <f>AVERAGE(B186:B215)</f>
        <v/>
      </c>
      <c r="E215" s="5">
        <f>SLOPE(B$2:B$731,$A$2:$A$731)*$A215+INTERCEPT(B$2:B$731,$A$2:$A$731)</f>
        <v/>
      </c>
      <c r="F215" s="3" t="n">
        <v>0.79</v>
      </c>
      <c r="G215" s="4">
        <f>F215/F$2*100</f>
        <v/>
      </c>
      <c r="H215" s="5">
        <f>AVERAGE(F186:F215)</f>
        <v/>
      </c>
      <c r="I215" s="5">
        <f>SLOPE(F$2:F$731,$A$2:$A$731)*$A215+INTERCEPT(F$2:F$731,$A$2:$A$731)</f>
        <v/>
      </c>
      <c r="J215" s="6" t="inlineStr"/>
    </row>
    <row r="216">
      <c r="A216" s="2" t="n">
        <v>45506</v>
      </c>
      <c r="B216" s="3" t="n">
        <v>82.14</v>
      </c>
      <c r="C216" s="4">
        <f>B216/B$2*100</f>
        <v/>
      </c>
      <c r="D216" s="5">
        <f>AVERAGE(B187:B216)</f>
        <v/>
      </c>
      <c r="E216" s="5">
        <f>SLOPE(B$2:B$731,$A$2:$A$731)*$A216+INTERCEPT(B$2:B$731,$A$2:$A$731)</f>
        <v/>
      </c>
      <c r="F216" s="3" t="n">
        <v>0.79</v>
      </c>
      <c r="G216" s="4">
        <f>F216/F$2*100</f>
        <v/>
      </c>
      <c r="H216" s="5">
        <f>AVERAGE(F187:F216)</f>
        <v/>
      </c>
      <c r="I216" s="5">
        <f>SLOPE(F$2:F$731,$A$2:$A$731)*$A216+INTERCEPT(F$2:F$731,$A$2:$A$731)</f>
        <v/>
      </c>
      <c r="J216" s="6" t="inlineStr"/>
    </row>
    <row r="217">
      <c r="A217" s="2" t="n">
        <v>45507</v>
      </c>
      <c r="B217" s="3" t="n">
        <v>82.15000000000001</v>
      </c>
      <c r="C217" s="4">
        <f>B217/B$2*100</f>
        <v/>
      </c>
      <c r="D217" s="5">
        <f>AVERAGE(B188:B217)</f>
        <v/>
      </c>
      <c r="E217" s="5">
        <f>SLOPE(B$2:B$731,$A$2:$A$731)*$A217+INTERCEPT(B$2:B$731,$A$2:$A$731)</f>
        <v/>
      </c>
      <c r="F217" s="3" t="n">
        <v>0.79</v>
      </c>
      <c r="G217" s="4">
        <f>F217/F$2*100</f>
        <v/>
      </c>
      <c r="H217" s="5">
        <f>AVERAGE(F188:F217)</f>
        <v/>
      </c>
      <c r="I217" s="5">
        <f>SLOPE(F$2:F$731,$A$2:$A$731)*$A217+INTERCEPT(F$2:F$731,$A$2:$A$731)</f>
        <v/>
      </c>
      <c r="J217" s="6" t="inlineStr">
        <is>
          <t>yes</t>
        </is>
      </c>
    </row>
    <row r="218">
      <c r="A218" s="2" t="n">
        <v>45508</v>
      </c>
      <c r="B218" s="3" t="n">
        <v>82.16</v>
      </c>
      <c r="C218" s="4">
        <f>B218/B$2*100</f>
        <v/>
      </c>
      <c r="D218" s="5">
        <f>AVERAGE(B189:B218)</f>
        <v/>
      </c>
      <c r="E218" s="5">
        <f>SLOPE(B$2:B$731,$A$2:$A$731)*$A218+INTERCEPT(B$2:B$731,$A$2:$A$731)</f>
        <v/>
      </c>
      <c r="F218" s="3" t="n">
        <v>0.79</v>
      </c>
      <c r="G218" s="4">
        <f>F218/F$2*100</f>
        <v/>
      </c>
      <c r="H218" s="5">
        <f>AVERAGE(F189:F218)</f>
        <v/>
      </c>
      <c r="I218" s="5">
        <f>SLOPE(F$2:F$731,$A$2:$A$731)*$A218+INTERCEPT(F$2:F$731,$A$2:$A$731)</f>
        <v/>
      </c>
      <c r="J218" s="6" t="inlineStr">
        <is>
          <t>yes</t>
        </is>
      </c>
    </row>
    <row r="219">
      <c r="A219" s="2" t="n">
        <v>45509</v>
      </c>
      <c r="B219" s="3" t="n">
        <v>82.17</v>
      </c>
      <c r="C219" s="4">
        <f>B219/B$2*100</f>
        <v/>
      </c>
      <c r="D219" s="5">
        <f>AVERAGE(B190:B219)</f>
        <v/>
      </c>
      <c r="E219" s="5">
        <f>SLOPE(B$2:B$731,$A$2:$A$731)*$A219+INTERCEPT(B$2:B$731,$A$2:$A$731)</f>
        <v/>
      </c>
      <c r="F219" s="3" t="n">
        <v>0.79</v>
      </c>
      <c r="G219" s="4">
        <f>F219/F$2*100</f>
        <v/>
      </c>
      <c r="H219" s="5">
        <f>AVERAGE(F190:F219)</f>
        <v/>
      </c>
      <c r="I219" s="5">
        <f>SLOPE(F$2:F$731,$A$2:$A$731)*$A219+INTERCEPT(F$2:F$731,$A$2:$A$731)</f>
        <v/>
      </c>
      <c r="J219" s="6" t="inlineStr"/>
    </row>
    <row r="220">
      <c r="A220" s="2" t="n">
        <v>45510</v>
      </c>
      <c r="B220" s="3" t="n">
        <v>82.18000000000001</v>
      </c>
      <c r="C220" s="4">
        <f>B220/B$2*100</f>
        <v/>
      </c>
      <c r="D220" s="5">
        <f>AVERAGE(B191:B220)</f>
        <v/>
      </c>
      <c r="E220" s="5">
        <f>SLOPE(B$2:B$731,$A$2:$A$731)*$A220+INTERCEPT(B$2:B$731,$A$2:$A$731)</f>
        <v/>
      </c>
      <c r="F220" s="3" t="n">
        <v>0.79</v>
      </c>
      <c r="G220" s="4">
        <f>F220/F$2*100</f>
        <v/>
      </c>
      <c r="H220" s="5">
        <f>AVERAGE(F191:F220)</f>
        <v/>
      </c>
      <c r="I220" s="5">
        <f>SLOPE(F$2:F$731,$A$2:$A$731)*$A220+INTERCEPT(F$2:F$731,$A$2:$A$731)</f>
        <v/>
      </c>
      <c r="J220" s="6" t="inlineStr"/>
    </row>
    <row r="221">
      <c r="A221" s="2" t="n">
        <v>45511</v>
      </c>
      <c r="B221" s="3" t="n">
        <v>82.19</v>
      </c>
      <c r="C221" s="4">
        <f>B221/B$2*100</f>
        <v/>
      </c>
      <c r="D221" s="5">
        <f>AVERAGE(B192:B221)</f>
        <v/>
      </c>
      <c r="E221" s="5">
        <f>SLOPE(B$2:B$731,$A$2:$A$731)*$A221+INTERCEPT(B$2:B$731,$A$2:$A$731)</f>
        <v/>
      </c>
      <c r="F221" s="3" t="n">
        <v>0.79</v>
      </c>
      <c r="G221" s="4">
        <f>F221/F$2*100</f>
        <v/>
      </c>
      <c r="H221" s="5">
        <f>AVERAGE(F192:F221)</f>
        <v/>
      </c>
      <c r="I221" s="5">
        <f>SLOPE(F$2:F$731,$A$2:$A$731)*$A221+INTERCEPT(F$2:F$731,$A$2:$A$731)</f>
        <v/>
      </c>
      <c r="J221" s="6" t="inlineStr"/>
    </row>
    <row r="222">
      <c r="A222" s="2" t="n">
        <v>45512</v>
      </c>
      <c r="B222" s="3" t="n">
        <v>82.2</v>
      </c>
      <c r="C222" s="4">
        <f>B222/B$2*100</f>
        <v/>
      </c>
      <c r="D222" s="5">
        <f>AVERAGE(B193:B222)</f>
        <v/>
      </c>
      <c r="E222" s="5">
        <f>SLOPE(B$2:B$731,$A$2:$A$731)*$A222+INTERCEPT(B$2:B$731,$A$2:$A$731)</f>
        <v/>
      </c>
      <c r="F222" s="3" t="n">
        <v>0.79</v>
      </c>
      <c r="G222" s="4">
        <f>F222/F$2*100</f>
        <v/>
      </c>
      <c r="H222" s="5">
        <f>AVERAGE(F193:F222)</f>
        <v/>
      </c>
      <c r="I222" s="5">
        <f>SLOPE(F$2:F$731,$A$2:$A$731)*$A222+INTERCEPT(F$2:F$731,$A$2:$A$731)</f>
        <v/>
      </c>
      <c r="J222" s="6" t="inlineStr"/>
    </row>
    <row r="223">
      <c r="A223" s="2" t="n">
        <v>45513</v>
      </c>
      <c r="B223" s="3" t="n">
        <v>82.20999999999999</v>
      </c>
      <c r="C223" s="4">
        <f>B223/B$2*100</f>
        <v/>
      </c>
      <c r="D223" s="5">
        <f>AVERAGE(B194:B223)</f>
        <v/>
      </c>
      <c r="E223" s="5">
        <f>SLOPE(B$2:B$731,$A$2:$A$731)*$A223+INTERCEPT(B$2:B$731,$A$2:$A$731)</f>
        <v/>
      </c>
      <c r="F223" s="3" t="n">
        <v>0.79</v>
      </c>
      <c r="G223" s="4">
        <f>F223/F$2*100</f>
        <v/>
      </c>
      <c r="H223" s="5">
        <f>AVERAGE(F194:F223)</f>
        <v/>
      </c>
      <c r="I223" s="5">
        <f>SLOPE(F$2:F$731,$A$2:$A$731)*$A223+INTERCEPT(F$2:F$731,$A$2:$A$731)</f>
        <v/>
      </c>
      <c r="J223" s="6" t="inlineStr"/>
    </row>
    <row r="224">
      <c r="A224" s="2" t="n">
        <v>45514</v>
      </c>
      <c r="B224" s="3" t="n">
        <v>82.22</v>
      </c>
      <c r="C224" s="4">
        <f>B224/B$2*100</f>
        <v/>
      </c>
      <c r="D224" s="5">
        <f>AVERAGE(B195:B224)</f>
        <v/>
      </c>
      <c r="E224" s="5">
        <f>SLOPE(B$2:B$731,$A$2:$A$731)*$A224+INTERCEPT(B$2:B$731,$A$2:$A$731)</f>
        <v/>
      </c>
      <c r="F224" s="3" t="n">
        <v>0.79</v>
      </c>
      <c r="G224" s="4">
        <f>F224/F$2*100</f>
        <v/>
      </c>
      <c r="H224" s="5">
        <f>AVERAGE(F195:F224)</f>
        <v/>
      </c>
      <c r="I224" s="5">
        <f>SLOPE(F$2:F$731,$A$2:$A$731)*$A224+INTERCEPT(F$2:F$731,$A$2:$A$731)</f>
        <v/>
      </c>
      <c r="J224" s="6" t="inlineStr">
        <is>
          <t>yes</t>
        </is>
      </c>
    </row>
    <row r="225">
      <c r="A225" s="2" t="n">
        <v>45515</v>
      </c>
      <c r="B225" s="3" t="n">
        <v>82.23</v>
      </c>
      <c r="C225" s="4">
        <f>B225/B$2*100</f>
        <v/>
      </c>
      <c r="D225" s="5">
        <f>AVERAGE(B196:B225)</f>
        <v/>
      </c>
      <c r="E225" s="5">
        <f>SLOPE(B$2:B$731,$A$2:$A$731)*$A225+INTERCEPT(B$2:B$731,$A$2:$A$731)</f>
        <v/>
      </c>
      <c r="F225" s="3" t="n">
        <v>0.79</v>
      </c>
      <c r="G225" s="4">
        <f>F225/F$2*100</f>
        <v/>
      </c>
      <c r="H225" s="5">
        <f>AVERAGE(F196:F225)</f>
        <v/>
      </c>
      <c r="I225" s="5">
        <f>SLOPE(F$2:F$731,$A$2:$A$731)*$A225+INTERCEPT(F$2:F$731,$A$2:$A$731)</f>
        <v/>
      </c>
      <c r="J225" s="6" t="inlineStr">
        <is>
          <t>yes</t>
        </is>
      </c>
    </row>
    <row r="226">
      <c r="A226" s="2" t="n">
        <v>45516</v>
      </c>
      <c r="B226" s="3" t="n">
        <v>82.23999999999999</v>
      </c>
      <c r="C226" s="4">
        <f>B226/B$2*100</f>
        <v/>
      </c>
      <c r="D226" s="5">
        <f>AVERAGE(B197:B226)</f>
        <v/>
      </c>
      <c r="E226" s="5">
        <f>SLOPE(B$2:B$731,$A$2:$A$731)*$A226+INTERCEPT(B$2:B$731,$A$2:$A$731)</f>
        <v/>
      </c>
      <c r="F226" s="3" t="n">
        <v>0.79</v>
      </c>
      <c r="G226" s="4">
        <f>F226/F$2*100</f>
        <v/>
      </c>
      <c r="H226" s="5">
        <f>AVERAGE(F197:F226)</f>
        <v/>
      </c>
      <c r="I226" s="5">
        <f>SLOPE(F$2:F$731,$A$2:$A$731)*$A226+INTERCEPT(F$2:F$731,$A$2:$A$731)</f>
        <v/>
      </c>
      <c r="J226" s="6" t="inlineStr"/>
    </row>
    <row r="227">
      <c r="A227" s="2" t="n">
        <v>45517</v>
      </c>
      <c r="B227" s="3" t="n">
        <v>82.25</v>
      </c>
      <c r="C227" s="4">
        <f>B227/B$2*100</f>
        <v/>
      </c>
      <c r="D227" s="5">
        <f>AVERAGE(B198:B227)</f>
        <v/>
      </c>
      <c r="E227" s="5">
        <f>SLOPE(B$2:B$731,$A$2:$A$731)*$A227+INTERCEPT(B$2:B$731,$A$2:$A$731)</f>
        <v/>
      </c>
      <c r="F227" s="3" t="n">
        <v>0.79</v>
      </c>
      <c r="G227" s="4">
        <f>F227/F$2*100</f>
        <v/>
      </c>
      <c r="H227" s="5">
        <f>AVERAGE(F198:F227)</f>
        <v/>
      </c>
      <c r="I227" s="5">
        <f>SLOPE(F$2:F$731,$A$2:$A$731)*$A227+INTERCEPT(F$2:F$731,$A$2:$A$731)</f>
        <v/>
      </c>
      <c r="J227" s="6" t="inlineStr"/>
    </row>
    <row r="228">
      <c r="A228" s="2" t="n">
        <v>45518</v>
      </c>
      <c r="B228" s="3" t="n">
        <v>82.26000000000001</v>
      </c>
      <c r="C228" s="4">
        <f>B228/B$2*100</f>
        <v/>
      </c>
      <c r="D228" s="5">
        <f>AVERAGE(B199:B228)</f>
        <v/>
      </c>
      <c r="E228" s="5">
        <f>SLOPE(B$2:B$731,$A$2:$A$731)*$A228+INTERCEPT(B$2:B$731,$A$2:$A$731)</f>
        <v/>
      </c>
      <c r="F228" s="3" t="n">
        <v>0.79</v>
      </c>
      <c r="G228" s="4">
        <f>F228/F$2*100</f>
        <v/>
      </c>
      <c r="H228" s="5">
        <f>AVERAGE(F199:F228)</f>
        <v/>
      </c>
      <c r="I228" s="5">
        <f>SLOPE(F$2:F$731,$A$2:$A$731)*$A228+INTERCEPT(F$2:F$731,$A$2:$A$731)</f>
        <v/>
      </c>
      <c r="J228" s="6" t="inlineStr"/>
    </row>
    <row r="229">
      <c r="A229" s="2" t="n">
        <v>45519</v>
      </c>
      <c r="B229" s="3" t="n">
        <v>82.27</v>
      </c>
      <c r="C229" s="4">
        <f>B229/B$2*100</f>
        <v/>
      </c>
      <c r="D229" s="5">
        <f>AVERAGE(B200:B229)</f>
        <v/>
      </c>
      <c r="E229" s="5">
        <f>SLOPE(B$2:B$731,$A$2:$A$731)*$A229+INTERCEPT(B$2:B$731,$A$2:$A$731)</f>
        <v/>
      </c>
      <c r="F229" s="3" t="n">
        <v>0.79</v>
      </c>
      <c r="G229" s="4">
        <f>F229/F$2*100</f>
        <v/>
      </c>
      <c r="H229" s="5">
        <f>AVERAGE(F200:F229)</f>
        <v/>
      </c>
      <c r="I229" s="5">
        <f>SLOPE(F$2:F$731,$A$2:$A$731)*$A229+INTERCEPT(F$2:F$731,$A$2:$A$731)</f>
        <v/>
      </c>
      <c r="J229" s="6" t="inlineStr"/>
    </row>
    <row r="230">
      <c r="A230" s="2" t="n">
        <v>45520</v>
      </c>
      <c r="B230" s="3" t="n">
        <v>82.28</v>
      </c>
      <c r="C230" s="4">
        <f>B230/B$2*100</f>
        <v/>
      </c>
      <c r="D230" s="5">
        <f>AVERAGE(B201:B230)</f>
        <v/>
      </c>
      <c r="E230" s="5">
        <f>SLOPE(B$2:B$731,$A$2:$A$731)*$A230+INTERCEPT(B$2:B$731,$A$2:$A$731)</f>
        <v/>
      </c>
      <c r="F230" s="3" t="n">
        <v>0.79</v>
      </c>
      <c r="G230" s="4">
        <f>F230/F$2*100</f>
        <v/>
      </c>
      <c r="H230" s="5">
        <f>AVERAGE(F201:F230)</f>
        <v/>
      </c>
      <c r="I230" s="5">
        <f>SLOPE(F$2:F$731,$A$2:$A$731)*$A230+INTERCEPT(F$2:F$731,$A$2:$A$731)</f>
        <v/>
      </c>
      <c r="J230" s="6" t="inlineStr"/>
    </row>
    <row r="231">
      <c r="A231" s="2" t="n">
        <v>45521</v>
      </c>
      <c r="B231" s="3" t="n">
        <v>82.29000000000001</v>
      </c>
      <c r="C231" s="4">
        <f>B231/B$2*100</f>
        <v/>
      </c>
      <c r="D231" s="5">
        <f>AVERAGE(B202:B231)</f>
        <v/>
      </c>
      <c r="E231" s="5">
        <f>SLOPE(B$2:B$731,$A$2:$A$731)*$A231+INTERCEPT(B$2:B$731,$A$2:$A$731)</f>
        <v/>
      </c>
      <c r="F231" s="3" t="n">
        <v>0.79</v>
      </c>
      <c r="G231" s="4">
        <f>F231/F$2*100</f>
        <v/>
      </c>
      <c r="H231" s="5">
        <f>AVERAGE(F202:F231)</f>
        <v/>
      </c>
      <c r="I231" s="5">
        <f>SLOPE(F$2:F$731,$A$2:$A$731)*$A231+INTERCEPT(F$2:F$731,$A$2:$A$731)</f>
        <v/>
      </c>
      <c r="J231" s="6" t="inlineStr">
        <is>
          <t>yes</t>
        </is>
      </c>
    </row>
    <row r="232">
      <c r="A232" s="2" t="n">
        <v>45522</v>
      </c>
      <c r="B232" s="3" t="n">
        <v>82.3</v>
      </c>
      <c r="C232" s="4">
        <f>B232/B$2*100</f>
        <v/>
      </c>
      <c r="D232" s="5">
        <f>AVERAGE(B203:B232)</f>
        <v/>
      </c>
      <c r="E232" s="5">
        <f>SLOPE(B$2:B$731,$A$2:$A$731)*$A232+INTERCEPT(B$2:B$731,$A$2:$A$731)</f>
        <v/>
      </c>
      <c r="F232" s="3" t="n">
        <v>0.79</v>
      </c>
      <c r="G232" s="4">
        <f>F232/F$2*100</f>
        <v/>
      </c>
      <c r="H232" s="5">
        <f>AVERAGE(F203:F232)</f>
        <v/>
      </c>
      <c r="I232" s="5">
        <f>SLOPE(F$2:F$731,$A$2:$A$731)*$A232+INTERCEPT(F$2:F$731,$A$2:$A$731)</f>
        <v/>
      </c>
      <c r="J232" s="6" t="inlineStr">
        <is>
          <t>yes</t>
        </is>
      </c>
    </row>
    <row r="233">
      <c r="A233" s="2" t="n">
        <v>45523</v>
      </c>
      <c r="B233" s="3" t="n">
        <v>82.31</v>
      </c>
      <c r="C233" s="4">
        <f>B233/B$2*100</f>
        <v/>
      </c>
      <c r="D233" s="5">
        <f>AVERAGE(B204:B233)</f>
        <v/>
      </c>
      <c r="E233" s="5">
        <f>SLOPE(B$2:B$731,$A$2:$A$731)*$A233+INTERCEPT(B$2:B$731,$A$2:$A$731)</f>
        <v/>
      </c>
      <c r="F233" s="3" t="n">
        <v>0.79</v>
      </c>
      <c r="G233" s="4">
        <f>F233/F$2*100</f>
        <v/>
      </c>
      <c r="H233" s="5">
        <f>AVERAGE(F204:F233)</f>
        <v/>
      </c>
      <c r="I233" s="5">
        <f>SLOPE(F$2:F$731,$A$2:$A$731)*$A233+INTERCEPT(F$2:F$731,$A$2:$A$731)</f>
        <v/>
      </c>
      <c r="J233" s="6" t="inlineStr"/>
    </row>
    <row r="234">
      <c r="A234" s="2" t="n">
        <v>45524</v>
      </c>
      <c r="B234" s="3" t="n">
        <v>82.31999999999999</v>
      </c>
      <c r="C234" s="4">
        <f>B234/B$2*100</f>
        <v/>
      </c>
      <c r="D234" s="5">
        <f>AVERAGE(B205:B234)</f>
        <v/>
      </c>
      <c r="E234" s="5">
        <f>SLOPE(B$2:B$731,$A$2:$A$731)*$A234+INTERCEPT(B$2:B$731,$A$2:$A$731)</f>
        <v/>
      </c>
      <c r="F234" s="3" t="n">
        <v>0.79</v>
      </c>
      <c r="G234" s="4">
        <f>F234/F$2*100</f>
        <v/>
      </c>
      <c r="H234" s="5">
        <f>AVERAGE(F205:F234)</f>
        <v/>
      </c>
      <c r="I234" s="5">
        <f>SLOPE(F$2:F$731,$A$2:$A$731)*$A234+INTERCEPT(F$2:F$731,$A$2:$A$731)</f>
        <v/>
      </c>
      <c r="J234" s="6" t="inlineStr"/>
    </row>
    <row r="235">
      <c r="A235" s="2" t="n">
        <v>45525</v>
      </c>
      <c r="B235" s="3" t="n">
        <v>82.33</v>
      </c>
      <c r="C235" s="4">
        <f>B235/B$2*100</f>
        <v/>
      </c>
      <c r="D235" s="5">
        <f>AVERAGE(B206:B235)</f>
        <v/>
      </c>
      <c r="E235" s="5">
        <f>SLOPE(B$2:B$731,$A$2:$A$731)*$A235+INTERCEPT(B$2:B$731,$A$2:$A$731)</f>
        <v/>
      </c>
      <c r="F235" s="3" t="n">
        <v>0.79</v>
      </c>
      <c r="G235" s="4">
        <f>F235/F$2*100</f>
        <v/>
      </c>
      <c r="H235" s="5">
        <f>AVERAGE(F206:F235)</f>
        <v/>
      </c>
      <c r="I235" s="5">
        <f>SLOPE(F$2:F$731,$A$2:$A$731)*$A235+INTERCEPT(F$2:F$731,$A$2:$A$731)</f>
        <v/>
      </c>
      <c r="J235" s="6" t="inlineStr"/>
    </row>
    <row r="236">
      <c r="A236" s="2" t="n">
        <v>45526</v>
      </c>
      <c r="B236" s="3" t="n">
        <v>82.34</v>
      </c>
      <c r="C236" s="4">
        <f>B236/B$2*100</f>
        <v/>
      </c>
      <c r="D236" s="5">
        <f>AVERAGE(B207:B236)</f>
        <v/>
      </c>
      <c r="E236" s="5">
        <f>SLOPE(B$2:B$731,$A$2:$A$731)*$A236+INTERCEPT(B$2:B$731,$A$2:$A$731)</f>
        <v/>
      </c>
      <c r="F236" s="3" t="n">
        <v>0.79</v>
      </c>
      <c r="G236" s="4">
        <f>F236/F$2*100</f>
        <v/>
      </c>
      <c r="H236" s="5">
        <f>AVERAGE(F207:F236)</f>
        <v/>
      </c>
      <c r="I236" s="5">
        <f>SLOPE(F$2:F$731,$A$2:$A$731)*$A236+INTERCEPT(F$2:F$731,$A$2:$A$731)</f>
        <v/>
      </c>
      <c r="J236" s="6" t="inlineStr"/>
    </row>
    <row r="237">
      <c r="A237" s="2" t="n">
        <v>45527</v>
      </c>
      <c r="B237" s="3" t="n">
        <v>82.34999999999999</v>
      </c>
      <c r="C237" s="4">
        <f>B237/B$2*100</f>
        <v/>
      </c>
      <c r="D237" s="5">
        <f>AVERAGE(B208:B237)</f>
        <v/>
      </c>
      <c r="E237" s="5">
        <f>SLOPE(B$2:B$731,$A$2:$A$731)*$A237+INTERCEPT(B$2:B$731,$A$2:$A$731)</f>
        <v/>
      </c>
      <c r="F237" s="3" t="n">
        <v>0.79</v>
      </c>
      <c r="G237" s="4">
        <f>F237/F$2*100</f>
        <v/>
      </c>
      <c r="H237" s="5">
        <f>AVERAGE(F208:F237)</f>
        <v/>
      </c>
      <c r="I237" s="5">
        <f>SLOPE(F$2:F$731,$A$2:$A$731)*$A237+INTERCEPT(F$2:F$731,$A$2:$A$731)</f>
        <v/>
      </c>
      <c r="J237" s="6" t="inlineStr"/>
    </row>
    <row r="238">
      <c r="A238" s="2" t="n">
        <v>45528</v>
      </c>
      <c r="B238" s="3" t="n">
        <v>82.36</v>
      </c>
      <c r="C238" s="4">
        <f>B238/B$2*100</f>
        <v/>
      </c>
      <c r="D238" s="5">
        <f>AVERAGE(B209:B238)</f>
        <v/>
      </c>
      <c r="E238" s="5">
        <f>SLOPE(B$2:B$731,$A$2:$A$731)*$A238+INTERCEPT(B$2:B$731,$A$2:$A$731)</f>
        <v/>
      </c>
      <c r="F238" s="3" t="n">
        <v>0.79</v>
      </c>
      <c r="G238" s="4">
        <f>F238/F$2*100</f>
        <v/>
      </c>
      <c r="H238" s="5">
        <f>AVERAGE(F209:F238)</f>
        <v/>
      </c>
      <c r="I238" s="5">
        <f>SLOPE(F$2:F$731,$A$2:$A$731)*$A238+INTERCEPT(F$2:F$731,$A$2:$A$731)</f>
        <v/>
      </c>
      <c r="J238" s="6" t="inlineStr">
        <is>
          <t>yes</t>
        </is>
      </c>
    </row>
    <row r="239">
      <c r="A239" s="2" t="n">
        <v>45529</v>
      </c>
      <c r="B239" s="3" t="n">
        <v>82.37</v>
      </c>
      <c r="C239" s="4">
        <f>B239/B$2*100</f>
        <v/>
      </c>
      <c r="D239" s="5">
        <f>AVERAGE(B210:B239)</f>
        <v/>
      </c>
      <c r="E239" s="5">
        <f>SLOPE(B$2:B$731,$A$2:$A$731)*$A239+INTERCEPT(B$2:B$731,$A$2:$A$731)</f>
        <v/>
      </c>
      <c r="F239" s="3" t="n">
        <v>0.79</v>
      </c>
      <c r="G239" s="4">
        <f>F239/F$2*100</f>
        <v/>
      </c>
      <c r="H239" s="5">
        <f>AVERAGE(F210:F239)</f>
        <v/>
      </c>
      <c r="I239" s="5">
        <f>SLOPE(F$2:F$731,$A$2:$A$731)*$A239+INTERCEPT(F$2:F$731,$A$2:$A$731)</f>
        <v/>
      </c>
      <c r="J239" s="6" t="inlineStr">
        <is>
          <t>yes</t>
        </is>
      </c>
    </row>
    <row r="240">
      <c r="A240" s="2" t="n">
        <v>45530</v>
      </c>
      <c r="B240" s="3" t="n">
        <v>82.38</v>
      </c>
      <c r="C240" s="4">
        <f>B240/B$2*100</f>
        <v/>
      </c>
      <c r="D240" s="5">
        <f>AVERAGE(B211:B240)</f>
        <v/>
      </c>
      <c r="E240" s="5">
        <f>SLOPE(B$2:B$731,$A$2:$A$731)*$A240+INTERCEPT(B$2:B$731,$A$2:$A$731)</f>
        <v/>
      </c>
      <c r="F240" s="3" t="n">
        <v>0.79</v>
      </c>
      <c r="G240" s="4">
        <f>F240/F$2*100</f>
        <v/>
      </c>
      <c r="H240" s="5">
        <f>AVERAGE(F211:F240)</f>
        <v/>
      </c>
      <c r="I240" s="5">
        <f>SLOPE(F$2:F$731,$A$2:$A$731)*$A240+INTERCEPT(F$2:F$731,$A$2:$A$731)</f>
        <v/>
      </c>
      <c r="J240" s="6" t="inlineStr"/>
    </row>
    <row r="241">
      <c r="A241" s="2" t="n">
        <v>45531</v>
      </c>
      <c r="B241" s="3" t="n">
        <v>82.39</v>
      </c>
      <c r="C241" s="4">
        <f>B241/B$2*100</f>
        <v/>
      </c>
      <c r="D241" s="5">
        <f>AVERAGE(B212:B241)</f>
        <v/>
      </c>
      <c r="E241" s="5">
        <f>SLOPE(B$2:B$731,$A$2:$A$731)*$A241+INTERCEPT(B$2:B$731,$A$2:$A$731)</f>
        <v/>
      </c>
      <c r="F241" s="3" t="n">
        <v>0.79</v>
      </c>
      <c r="G241" s="4">
        <f>F241/F$2*100</f>
        <v/>
      </c>
      <c r="H241" s="5">
        <f>AVERAGE(F212:F241)</f>
        <v/>
      </c>
      <c r="I241" s="5">
        <f>SLOPE(F$2:F$731,$A$2:$A$731)*$A241+INTERCEPT(F$2:F$731,$A$2:$A$731)</f>
        <v/>
      </c>
      <c r="J241" s="6" t="inlineStr"/>
    </row>
    <row r="242">
      <c r="A242" s="2" t="n">
        <v>45532</v>
      </c>
      <c r="B242" s="3" t="n">
        <v>82.40000000000001</v>
      </c>
      <c r="C242" s="4">
        <f>B242/B$2*100</f>
        <v/>
      </c>
      <c r="D242" s="5">
        <f>AVERAGE(B213:B242)</f>
        <v/>
      </c>
      <c r="E242" s="5">
        <f>SLOPE(B$2:B$731,$A$2:$A$731)*$A242+INTERCEPT(B$2:B$731,$A$2:$A$731)</f>
        <v/>
      </c>
      <c r="F242" s="3" t="n">
        <v>0.79</v>
      </c>
      <c r="G242" s="4">
        <f>F242/F$2*100</f>
        <v/>
      </c>
      <c r="H242" s="5">
        <f>AVERAGE(F213:F242)</f>
        <v/>
      </c>
      <c r="I242" s="5">
        <f>SLOPE(F$2:F$731,$A$2:$A$731)*$A242+INTERCEPT(F$2:F$731,$A$2:$A$731)</f>
        <v/>
      </c>
      <c r="J242" s="6" t="inlineStr"/>
    </row>
    <row r="243">
      <c r="A243" s="2" t="n">
        <v>45533</v>
      </c>
      <c r="B243" s="3" t="n">
        <v>82.41</v>
      </c>
      <c r="C243" s="4">
        <f>B243/B$2*100</f>
        <v/>
      </c>
      <c r="D243" s="5">
        <f>AVERAGE(B214:B243)</f>
        <v/>
      </c>
      <c r="E243" s="5">
        <f>SLOPE(B$2:B$731,$A$2:$A$731)*$A243+INTERCEPT(B$2:B$731,$A$2:$A$731)</f>
        <v/>
      </c>
      <c r="F243" s="3" t="n">
        <v>0.79</v>
      </c>
      <c r="G243" s="4">
        <f>F243/F$2*100</f>
        <v/>
      </c>
      <c r="H243" s="5">
        <f>AVERAGE(F214:F243)</f>
        <v/>
      </c>
      <c r="I243" s="5">
        <f>SLOPE(F$2:F$731,$A$2:$A$731)*$A243+INTERCEPT(F$2:F$731,$A$2:$A$731)</f>
        <v/>
      </c>
      <c r="J243" s="6" t="inlineStr"/>
    </row>
    <row r="244">
      <c r="A244" s="2" t="n">
        <v>45534</v>
      </c>
      <c r="B244" s="3" t="n">
        <v>82.42</v>
      </c>
      <c r="C244" s="4">
        <f>B244/B$2*100</f>
        <v/>
      </c>
      <c r="D244" s="5">
        <f>AVERAGE(B215:B244)</f>
        <v/>
      </c>
      <c r="E244" s="5">
        <f>SLOPE(B$2:B$731,$A$2:$A$731)*$A244+INTERCEPT(B$2:B$731,$A$2:$A$731)</f>
        <v/>
      </c>
      <c r="F244" s="3" t="n">
        <v>0.79</v>
      </c>
      <c r="G244" s="4">
        <f>F244/F$2*100</f>
        <v/>
      </c>
      <c r="H244" s="5">
        <f>AVERAGE(F215:F244)</f>
        <v/>
      </c>
      <c r="I244" s="5">
        <f>SLOPE(F$2:F$731,$A$2:$A$731)*$A244+INTERCEPT(F$2:F$731,$A$2:$A$731)</f>
        <v/>
      </c>
      <c r="J244" s="6" t="inlineStr"/>
    </row>
    <row r="245">
      <c r="A245" s="2" t="n">
        <v>45535</v>
      </c>
      <c r="B245" s="3" t="n">
        <v>82.43000000000001</v>
      </c>
      <c r="C245" s="4">
        <f>B245/B$2*100</f>
        <v/>
      </c>
      <c r="D245" s="5">
        <f>AVERAGE(B216:B245)</f>
        <v/>
      </c>
      <c r="E245" s="5">
        <f>SLOPE(B$2:B$731,$A$2:$A$731)*$A245+INTERCEPT(B$2:B$731,$A$2:$A$731)</f>
        <v/>
      </c>
      <c r="F245" s="3" t="n">
        <v>0.79</v>
      </c>
      <c r="G245" s="4">
        <f>F245/F$2*100</f>
        <v/>
      </c>
      <c r="H245" s="5">
        <f>AVERAGE(F216:F245)</f>
        <v/>
      </c>
      <c r="I245" s="5">
        <f>SLOPE(F$2:F$731,$A$2:$A$731)*$A245+INTERCEPT(F$2:F$731,$A$2:$A$731)</f>
        <v/>
      </c>
      <c r="J245" s="6" t="inlineStr">
        <is>
          <t>yes</t>
        </is>
      </c>
    </row>
    <row r="246">
      <c r="A246" s="2" t="n">
        <v>45536</v>
      </c>
      <c r="B246" s="3" t="n">
        <v>82.44</v>
      </c>
      <c r="C246" s="4">
        <f>B246/B$2*100</f>
        <v/>
      </c>
      <c r="D246" s="5">
        <f>AVERAGE(B217:B246)</f>
        <v/>
      </c>
      <c r="E246" s="5">
        <f>SLOPE(B$2:B$731,$A$2:$A$731)*$A246+INTERCEPT(B$2:B$731,$A$2:$A$731)</f>
        <v/>
      </c>
      <c r="F246" s="3" t="n">
        <v>0.79</v>
      </c>
      <c r="G246" s="4">
        <f>F246/F$2*100</f>
        <v/>
      </c>
      <c r="H246" s="5">
        <f>AVERAGE(F217:F246)</f>
        <v/>
      </c>
      <c r="I246" s="5">
        <f>SLOPE(F$2:F$731,$A$2:$A$731)*$A246+INTERCEPT(F$2:F$731,$A$2:$A$731)</f>
        <v/>
      </c>
      <c r="J246" s="6" t="inlineStr">
        <is>
          <t>yes</t>
        </is>
      </c>
    </row>
    <row r="247">
      <c r="A247" s="2" t="n">
        <v>45537</v>
      </c>
      <c r="B247" s="3" t="n">
        <v>82.45</v>
      </c>
      <c r="C247" s="4">
        <f>B247/B$2*100</f>
        <v/>
      </c>
      <c r="D247" s="5">
        <f>AVERAGE(B218:B247)</f>
        <v/>
      </c>
      <c r="E247" s="5">
        <f>SLOPE(B$2:B$731,$A$2:$A$731)*$A247+INTERCEPT(B$2:B$731,$A$2:$A$731)</f>
        <v/>
      </c>
      <c r="F247" s="3" t="n">
        <v>0.79</v>
      </c>
      <c r="G247" s="4">
        <f>F247/F$2*100</f>
        <v/>
      </c>
      <c r="H247" s="5">
        <f>AVERAGE(F218:F247)</f>
        <v/>
      </c>
      <c r="I247" s="5">
        <f>SLOPE(F$2:F$731,$A$2:$A$731)*$A247+INTERCEPT(F$2:F$731,$A$2:$A$731)</f>
        <v/>
      </c>
      <c r="J247" s="6" t="inlineStr"/>
    </row>
    <row r="248">
      <c r="A248" s="2" t="n">
        <v>45538</v>
      </c>
      <c r="B248" s="3" t="n">
        <v>82.45999999999999</v>
      </c>
      <c r="C248" s="4">
        <f>B248/B$2*100</f>
        <v/>
      </c>
      <c r="D248" s="5">
        <f>AVERAGE(B219:B248)</f>
        <v/>
      </c>
      <c r="E248" s="5">
        <f>SLOPE(B$2:B$731,$A$2:$A$731)*$A248+INTERCEPT(B$2:B$731,$A$2:$A$731)</f>
        <v/>
      </c>
      <c r="F248" s="3" t="n">
        <v>0.79</v>
      </c>
      <c r="G248" s="4">
        <f>F248/F$2*100</f>
        <v/>
      </c>
      <c r="H248" s="5">
        <f>AVERAGE(F219:F248)</f>
        <v/>
      </c>
      <c r="I248" s="5">
        <f>SLOPE(F$2:F$731,$A$2:$A$731)*$A248+INTERCEPT(F$2:F$731,$A$2:$A$731)</f>
        <v/>
      </c>
      <c r="J248" s="6" t="inlineStr"/>
    </row>
    <row r="249">
      <c r="A249" s="2" t="n">
        <v>45539</v>
      </c>
      <c r="B249" s="3" t="n">
        <v>82.47</v>
      </c>
      <c r="C249" s="4">
        <f>B249/B$2*100</f>
        <v/>
      </c>
      <c r="D249" s="5">
        <f>AVERAGE(B220:B249)</f>
        <v/>
      </c>
      <c r="E249" s="5">
        <f>SLOPE(B$2:B$731,$A$2:$A$731)*$A249+INTERCEPT(B$2:B$731,$A$2:$A$731)</f>
        <v/>
      </c>
      <c r="F249" s="3" t="n">
        <v>0.79</v>
      </c>
      <c r="G249" s="4">
        <f>F249/F$2*100</f>
        <v/>
      </c>
      <c r="H249" s="5">
        <f>AVERAGE(F220:F249)</f>
        <v/>
      </c>
      <c r="I249" s="5">
        <f>SLOPE(F$2:F$731,$A$2:$A$731)*$A249+INTERCEPT(F$2:F$731,$A$2:$A$731)</f>
        <v/>
      </c>
      <c r="J249" s="6" t="inlineStr"/>
    </row>
    <row r="250">
      <c r="A250" s="2" t="n">
        <v>45540</v>
      </c>
      <c r="B250" s="3" t="n">
        <v>82.48</v>
      </c>
      <c r="C250" s="4">
        <f>B250/B$2*100</f>
        <v/>
      </c>
      <c r="D250" s="5">
        <f>AVERAGE(B221:B250)</f>
        <v/>
      </c>
      <c r="E250" s="5">
        <f>SLOPE(B$2:B$731,$A$2:$A$731)*$A250+INTERCEPT(B$2:B$731,$A$2:$A$731)</f>
        <v/>
      </c>
      <c r="F250" s="3" t="n">
        <v>0.79</v>
      </c>
      <c r="G250" s="4">
        <f>F250/F$2*100</f>
        <v/>
      </c>
      <c r="H250" s="5">
        <f>AVERAGE(F221:F250)</f>
        <v/>
      </c>
      <c r="I250" s="5">
        <f>SLOPE(F$2:F$731,$A$2:$A$731)*$A250+INTERCEPT(F$2:F$731,$A$2:$A$731)</f>
        <v/>
      </c>
      <c r="J250" s="6" t="inlineStr"/>
    </row>
    <row r="251">
      <c r="A251" s="2" t="n">
        <v>45541</v>
      </c>
      <c r="B251" s="3" t="n">
        <v>82.48999999999999</v>
      </c>
      <c r="C251" s="4">
        <f>B251/B$2*100</f>
        <v/>
      </c>
      <c r="D251" s="5">
        <f>AVERAGE(B222:B251)</f>
        <v/>
      </c>
      <c r="E251" s="5">
        <f>SLOPE(B$2:B$731,$A$2:$A$731)*$A251+INTERCEPT(B$2:B$731,$A$2:$A$731)</f>
        <v/>
      </c>
      <c r="F251" s="3" t="n">
        <v>0.79</v>
      </c>
      <c r="G251" s="4">
        <f>F251/F$2*100</f>
        <v/>
      </c>
      <c r="H251" s="5">
        <f>AVERAGE(F222:F251)</f>
        <v/>
      </c>
      <c r="I251" s="5">
        <f>SLOPE(F$2:F$731,$A$2:$A$731)*$A251+INTERCEPT(F$2:F$731,$A$2:$A$731)</f>
        <v/>
      </c>
      <c r="J251" s="6" t="inlineStr"/>
    </row>
    <row r="252">
      <c r="A252" s="2" t="n">
        <v>45542</v>
      </c>
      <c r="B252" s="3" t="n">
        <v>82.5</v>
      </c>
      <c r="C252" s="4">
        <f>B252/B$2*100</f>
        <v/>
      </c>
      <c r="D252" s="5">
        <f>AVERAGE(B223:B252)</f>
        <v/>
      </c>
      <c r="E252" s="5">
        <f>SLOPE(B$2:B$731,$A$2:$A$731)*$A252+INTERCEPT(B$2:B$731,$A$2:$A$731)</f>
        <v/>
      </c>
      <c r="F252" s="3" t="n">
        <v>0.79</v>
      </c>
      <c r="G252" s="4">
        <f>F252/F$2*100</f>
        <v/>
      </c>
      <c r="H252" s="5">
        <f>AVERAGE(F223:F252)</f>
        <v/>
      </c>
      <c r="I252" s="5">
        <f>SLOPE(F$2:F$731,$A$2:$A$731)*$A252+INTERCEPT(F$2:F$731,$A$2:$A$731)</f>
        <v/>
      </c>
      <c r="J252" s="6" t="inlineStr">
        <is>
          <t>yes</t>
        </is>
      </c>
    </row>
    <row r="253">
      <c r="A253" s="2" t="n">
        <v>45543</v>
      </c>
      <c r="B253" s="3" t="n">
        <v>82.51000000000001</v>
      </c>
      <c r="C253" s="4">
        <f>B253/B$2*100</f>
        <v/>
      </c>
      <c r="D253" s="5">
        <f>AVERAGE(B224:B253)</f>
        <v/>
      </c>
      <c r="E253" s="5">
        <f>SLOPE(B$2:B$731,$A$2:$A$731)*$A253+INTERCEPT(B$2:B$731,$A$2:$A$731)</f>
        <v/>
      </c>
      <c r="F253" s="3" t="n">
        <v>0.79</v>
      </c>
      <c r="G253" s="4">
        <f>F253/F$2*100</f>
        <v/>
      </c>
      <c r="H253" s="5">
        <f>AVERAGE(F224:F253)</f>
        <v/>
      </c>
      <c r="I253" s="5">
        <f>SLOPE(F$2:F$731,$A$2:$A$731)*$A253+INTERCEPT(F$2:F$731,$A$2:$A$731)</f>
        <v/>
      </c>
      <c r="J253" s="6" t="inlineStr">
        <is>
          <t>yes</t>
        </is>
      </c>
    </row>
    <row r="254">
      <c r="A254" s="2" t="n">
        <v>45544</v>
      </c>
      <c r="B254" s="3" t="n">
        <v>82.52</v>
      </c>
      <c r="C254" s="4">
        <f>B254/B$2*100</f>
        <v/>
      </c>
      <c r="D254" s="5">
        <f>AVERAGE(B225:B254)</f>
        <v/>
      </c>
      <c r="E254" s="5">
        <f>SLOPE(B$2:B$731,$A$2:$A$731)*$A254+INTERCEPT(B$2:B$731,$A$2:$A$731)</f>
        <v/>
      </c>
      <c r="F254" s="3" t="n">
        <v>0.79</v>
      </c>
      <c r="G254" s="4">
        <f>F254/F$2*100</f>
        <v/>
      </c>
      <c r="H254" s="5">
        <f>AVERAGE(F225:F254)</f>
        <v/>
      </c>
      <c r="I254" s="5">
        <f>SLOPE(F$2:F$731,$A$2:$A$731)*$A254+INTERCEPT(F$2:F$731,$A$2:$A$731)</f>
        <v/>
      </c>
      <c r="J254" s="6" t="inlineStr"/>
    </row>
    <row r="255">
      <c r="A255" s="2" t="n">
        <v>45545</v>
      </c>
      <c r="B255" s="3" t="n">
        <v>82.53</v>
      </c>
      <c r="C255" s="4">
        <f>B255/B$2*100</f>
        <v/>
      </c>
      <c r="D255" s="5">
        <f>AVERAGE(B226:B255)</f>
        <v/>
      </c>
      <c r="E255" s="5">
        <f>SLOPE(B$2:B$731,$A$2:$A$731)*$A255+INTERCEPT(B$2:B$731,$A$2:$A$731)</f>
        <v/>
      </c>
      <c r="F255" s="3" t="n">
        <v>0.79</v>
      </c>
      <c r="G255" s="4">
        <f>F255/F$2*100</f>
        <v/>
      </c>
      <c r="H255" s="5">
        <f>AVERAGE(F226:F255)</f>
        <v/>
      </c>
      <c r="I255" s="5">
        <f>SLOPE(F$2:F$731,$A$2:$A$731)*$A255+INTERCEPT(F$2:F$731,$A$2:$A$731)</f>
        <v/>
      </c>
      <c r="J255" s="6" t="inlineStr"/>
    </row>
    <row r="256">
      <c r="A256" s="2" t="n">
        <v>45546</v>
      </c>
      <c r="B256" s="3" t="n">
        <v>82.54000000000001</v>
      </c>
      <c r="C256" s="4">
        <f>B256/B$2*100</f>
        <v/>
      </c>
      <c r="D256" s="5">
        <f>AVERAGE(B227:B256)</f>
        <v/>
      </c>
      <c r="E256" s="5">
        <f>SLOPE(B$2:B$731,$A$2:$A$731)*$A256+INTERCEPT(B$2:B$731,$A$2:$A$731)</f>
        <v/>
      </c>
      <c r="F256" s="3" t="n">
        <v>0.79</v>
      </c>
      <c r="G256" s="4">
        <f>F256/F$2*100</f>
        <v/>
      </c>
      <c r="H256" s="5">
        <f>AVERAGE(F227:F256)</f>
        <v/>
      </c>
      <c r="I256" s="5">
        <f>SLOPE(F$2:F$731,$A$2:$A$731)*$A256+INTERCEPT(F$2:F$731,$A$2:$A$731)</f>
        <v/>
      </c>
      <c r="J256" s="6" t="inlineStr"/>
    </row>
    <row r="257">
      <c r="A257" s="2" t="n">
        <v>45547</v>
      </c>
      <c r="B257" s="3" t="n">
        <v>82.55</v>
      </c>
      <c r="C257" s="4">
        <f>B257/B$2*100</f>
        <v/>
      </c>
      <c r="D257" s="5">
        <f>AVERAGE(B228:B257)</f>
        <v/>
      </c>
      <c r="E257" s="5">
        <f>SLOPE(B$2:B$731,$A$2:$A$731)*$A257+INTERCEPT(B$2:B$731,$A$2:$A$731)</f>
        <v/>
      </c>
      <c r="F257" s="3" t="n">
        <v>0.79</v>
      </c>
      <c r="G257" s="4">
        <f>F257/F$2*100</f>
        <v/>
      </c>
      <c r="H257" s="5">
        <f>AVERAGE(F228:F257)</f>
        <v/>
      </c>
      <c r="I257" s="5">
        <f>SLOPE(F$2:F$731,$A$2:$A$731)*$A257+INTERCEPT(F$2:F$731,$A$2:$A$731)</f>
        <v/>
      </c>
      <c r="J257" s="6" t="inlineStr"/>
    </row>
    <row r="258">
      <c r="A258" s="2" t="n">
        <v>45548</v>
      </c>
      <c r="B258" s="3" t="n">
        <v>82.56</v>
      </c>
      <c r="C258" s="4">
        <f>B258/B$2*100</f>
        <v/>
      </c>
      <c r="D258" s="5">
        <f>AVERAGE(B229:B258)</f>
        <v/>
      </c>
      <c r="E258" s="5">
        <f>SLOPE(B$2:B$731,$A$2:$A$731)*$A258+INTERCEPT(B$2:B$731,$A$2:$A$731)</f>
        <v/>
      </c>
      <c r="F258" s="3" t="n">
        <v>0.79</v>
      </c>
      <c r="G258" s="4">
        <f>F258/F$2*100</f>
        <v/>
      </c>
      <c r="H258" s="5">
        <f>AVERAGE(F229:F258)</f>
        <v/>
      </c>
      <c r="I258" s="5">
        <f>SLOPE(F$2:F$731,$A$2:$A$731)*$A258+INTERCEPT(F$2:F$731,$A$2:$A$731)</f>
        <v/>
      </c>
      <c r="J258" s="6" t="inlineStr"/>
    </row>
    <row r="259">
      <c r="A259" s="2" t="n">
        <v>45549</v>
      </c>
      <c r="B259" s="3" t="n">
        <v>82.56999999999999</v>
      </c>
      <c r="C259" s="4">
        <f>B259/B$2*100</f>
        <v/>
      </c>
      <c r="D259" s="5">
        <f>AVERAGE(B230:B259)</f>
        <v/>
      </c>
      <c r="E259" s="5">
        <f>SLOPE(B$2:B$731,$A$2:$A$731)*$A259+INTERCEPT(B$2:B$731,$A$2:$A$731)</f>
        <v/>
      </c>
      <c r="F259" s="3" t="n">
        <v>0.79</v>
      </c>
      <c r="G259" s="4">
        <f>F259/F$2*100</f>
        <v/>
      </c>
      <c r="H259" s="5">
        <f>AVERAGE(F230:F259)</f>
        <v/>
      </c>
      <c r="I259" s="5">
        <f>SLOPE(F$2:F$731,$A$2:$A$731)*$A259+INTERCEPT(F$2:F$731,$A$2:$A$731)</f>
        <v/>
      </c>
      <c r="J259" s="6" t="inlineStr">
        <is>
          <t>yes</t>
        </is>
      </c>
    </row>
    <row r="260">
      <c r="A260" s="2" t="n">
        <v>45550</v>
      </c>
      <c r="B260" s="3" t="n">
        <v>82.58</v>
      </c>
      <c r="C260" s="4">
        <f>B260/B$2*100</f>
        <v/>
      </c>
      <c r="D260" s="5">
        <f>AVERAGE(B231:B260)</f>
        <v/>
      </c>
      <c r="E260" s="5">
        <f>SLOPE(B$2:B$731,$A$2:$A$731)*$A260+INTERCEPT(B$2:B$731,$A$2:$A$731)</f>
        <v/>
      </c>
      <c r="F260" s="3" t="n">
        <v>0.79</v>
      </c>
      <c r="G260" s="4">
        <f>F260/F$2*100</f>
        <v/>
      </c>
      <c r="H260" s="5">
        <f>AVERAGE(F231:F260)</f>
        <v/>
      </c>
      <c r="I260" s="5">
        <f>SLOPE(F$2:F$731,$A$2:$A$731)*$A260+INTERCEPT(F$2:F$731,$A$2:$A$731)</f>
        <v/>
      </c>
      <c r="J260" s="6" t="inlineStr">
        <is>
          <t>yes</t>
        </is>
      </c>
    </row>
    <row r="261">
      <c r="A261" s="2" t="n">
        <v>45551</v>
      </c>
      <c r="B261" s="3" t="n">
        <v>82.59</v>
      </c>
      <c r="C261" s="4">
        <f>B261/B$2*100</f>
        <v/>
      </c>
      <c r="D261" s="5">
        <f>AVERAGE(B232:B261)</f>
        <v/>
      </c>
      <c r="E261" s="5">
        <f>SLOPE(B$2:B$731,$A$2:$A$731)*$A261+INTERCEPT(B$2:B$731,$A$2:$A$731)</f>
        <v/>
      </c>
      <c r="F261" s="3" t="n">
        <v>0.79</v>
      </c>
      <c r="G261" s="4">
        <f>F261/F$2*100</f>
        <v/>
      </c>
      <c r="H261" s="5">
        <f>AVERAGE(F232:F261)</f>
        <v/>
      </c>
      <c r="I261" s="5">
        <f>SLOPE(F$2:F$731,$A$2:$A$731)*$A261+INTERCEPT(F$2:F$731,$A$2:$A$731)</f>
        <v/>
      </c>
      <c r="J261" s="6" t="inlineStr"/>
    </row>
    <row r="262">
      <c r="A262" s="2" t="n">
        <v>45552</v>
      </c>
      <c r="B262" s="3" t="n">
        <v>82.59999999999999</v>
      </c>
      <c r="C262" s="4">
        <f>B262/B$2*100</f>
        <v/>
      </c>
      <c r="D262" s="5">
        <f>AVERAGE(B233:B262)</f>
        <v/>
      </c>
      <c r="E262" s="5">
        <f>SLOPE(B$2:B$731,$A$2:$A$731)*$A262+INTERCEPT(B$2:B$731,$A$2:$A$731)</f>
        <v/>
      </c>
      <c r="F262" s="3" t="n">
        <v>0.79</v>
      </c>
      <c r="G262" s="4">
        <f>F262/F$2*100</f>
        <v/>
      </c>
      <c r="H262" s="5">
        <f>AVERAGE(F233:F262)</f>
        <v/>
      </c>
      <c r="I262" s="5">
        <f>SLOPE(F$2:F$731,$A$2:$A$731)*$A262+INTERCEPT(F$2:F$731,$A$2:$A$731)</f>
        <v/>
      </c>
      <c r="J262" s="6" t="inlineStr"/>
    </row>
    <row r="263">
      <c r="A263" s="2" t="n">
        <v>45553</v>
      </c>
      <c r="B263" s="3" t="n">
        <v>82.61</v>
      </c>
      <c r="C263" s="4">
        <f>B263/B$2*100</f>
        <v/>
      </c>
      <c r="D263" s="5">
        <f>AVERAGE(B234:B263)</f>
        <v/>
      </c>
      <c r="E263" s="5">
        <f>SLOPE(B$2:B$731,$A$2:$A$731)*$A263+INTERCEPT(B$2:B$731,$A$2:$A$731)</f>
        <v/>
      </c>
      <c r="F263" s="3" t="n">
        <v>0.79</v>
      </c>
      <c r="G263" s="4">
        <f>F263/F$2*100</f>
        <v/>
      </c>
      <c r="H263" s="5">
        <f>AVERAGE(F234:F263)</f>
        <v/>
      </c>
      <c r="I263" s="5">
        <f>SLOPE(F$2:F$731,$A$2:$A$731)*$A263+INTERCEPT(F$2:F$731,$A$2:$A$731)</f>
        <v/>
      </c>
      <c r="J263" s="6" t="inlineStr"/>
    </row>
    <row r="264">
      <c r="A264" s="2" t="n">
        <v>45554</v>
      </c>
      <c r="B264" s="3" t="n">
        <v>82.62</v>
      </c>
      <c r="C264" s="4">
        <f>B264/B$2*100</f>
        <v/>
      </c>
      <c r="D264" s="5">
        <f>AVERAGE(B235:B264)</f>
        <v/>
      </c>
      <c r="E264" s="5">
        <f>SLOPE(B$2:B$731,$A$2:$A$731)*$A264+INTERCEPT(B$2:B$731,$A$2:$A$731)</f>
        <v/>
      </c>
      <c r="F264" s="3" t="n">
        <v>0.79</v>
      </c>
      <c r="G264" s="4">
        <f>F264/F$2*100</f>
        <v/>
      </c>
      <c r="H264" s="5">
        <f>AVERAGE(F235:F264)</f>
        <v/>
      </c>
      <c r="I264" s="5">
        <f>SLOPE(F$2:F$731,$A$2:$A$731)*$A264+INTERCEPT(F$2:F$731,$A$2:$A$731)</f>
        <v/>
      </c>
      <c r="J264" s="6" t="inlineStr"/>
    </row>
    <row r="265">
      <c r="A265" s="2" t="n">
        <v>45555</v>
      </c>
      <c r="B265" s="3" t="n">
        <v>82.63</v>
      </c>
      <c r="C265" s="4">
        <f>B265/B$2*100</f>
        <v/>
      </c>
      <c r="D265" s="5">
        <f>AVERAGE(B236:B265)</f>
        <v/>
      </c>
      <c r="E265" s="5">
        <f>SLOPE(B$2:B$731,$A$2:$A$731)*$A265+INTERCEPT(B$2:B$731,$A$2:$A$731)</f>
        <v/>
      </c>
      <c r="F265" s="3" t="n">
        <v>0.79</v>
      </c>
      <c r="G265" s="4">
        <f>F265/F$2*100</f>
        <v/>
      </c>
      <c r="H265" s="5">
        <f>AVERAGE(F236:F265)</f>
        <v/>
      </c>
      <c r="I265" s="5">
        <f>SLOPE(F$2:F$731,$A$2:$A$731)*$A265+INTERCEPT(F$2:F$731,$A$2:$A$731)</f>
        <v/>
      </c>
      <c r="J265" s="6" t="inlineStr"/>
    </row>
    <row r="266">
      <c r="A266" s="2" t="n">
        <v>45556</v>
      </c>
      <c r="B266" s="3" t="n">
        <v>82.64</v>
      </c>
      <c r="C266" s="4">
        <f>B266/B$2*100</f>
        <v/>
      </c>
      <c r="D266" s="5">
        <f>AVERAGE(B237:B266)</f>
        <v/>
      </c>
      <c r="E266" s="5">
        <f>SLOPE(B$2:B$731,$A$2:$A$731)*$A266+INTERCEPT(B$2:B$731,$A$2:$A$731)</f>
        <v/>
      </c>
      <c r="F266" s="3" t="n">
        <v>0.79</v>
      </c>
      <c r="G266" s="4">
        <f>F266/F$2*100</f>
        <v/>
      </c>
      <c r="H266" s="5">
        <f>AVERAGE(F237:F266)</f>
        <v/>
      </c>
      <c r="I266" s="5">
        <f>SLOPE(F$2:F$731,$A$2:$A$731)*$A266+INTERCEPT(F$2:F$731,$A$2:$A$731)</f>
        <v/>
      </c>
      <c r="J266" s="6" t="inlineStr">
        <is>
          <t>yes</t>
        </is>
      </c>
    </row>
    <row r="267">
      <c r="A267" s="2" t="n">
        <v>45557</v>
      </c>
      <c r="B267" s="3" t="n">
        <v>82.65000000000001</v>
      </c>
      <c r="C267" s="4">
        <f>B267/B$2*100</f>
        <v/>
      </c>
      <c r="D267" s="5">
        <f>AVERAGE(B238:B267)</f>
        <v/>
      </c>
      <c r="E267" s="5">
        <f>SLOPE(B$2:B$731,$A$2:$A$731)*$A267+INTERCEPT(B$2:B$731,$A$2:$A$731)</f>
        <v/>
      </c>
      <c r="F267" s="3" t="n">
        <v>0.79</v>
      </c>
      <c r="G267" s="4">
        <f>F267/F$2*100</f>
        <v/>
      </c>
      <c r="H267" s="5">
        <f>AVERAGE(F238:F267)</f>
        <v/>
      </c>
      <c r="I267" s="5">
        <f>SLOPE(F$2:F$731,$A$2:$A$731)*$A267+INTERCEPT(F$2:F$731,$A$2:$A$731)</f>
        <v/>
      </c>
      <c r="J267" s="6" t="inlineStr">
        <is>
          <t>yes</t>
        </is>
      </c>
    </row>
    <row r="268">
      <c r="A268" s="2" t="n">
        <v>45558</v>
      </c>
      <c r="B268" s="3" t="n">
        <v>82.66</v>
      </c>
      <c r="C268" s="4">
        <f>B268/B$2*100</f>
        <v/>
      </c>
      <c r="D268" s="5">
        <f>AVERAGE(B239:B268)</f>
        <v/>
      </c>
      <c r="E268" s="5">
        <f>SLOPE(B$2:B$731,$A$2:$A$731)*$A268+INTERCEPT(B$2:B$731,$A$2:$A$731)</f>
        <v/>
      </c>
      <c r="F268" s="3" t="n">
        <v>0.79</v>
      </c>
      <c r="G268" s="4">
        <f>F268/F$2*100</f>
        <v/>
      </c>
      <c r="H268" s="5">
        <f>AVERAGE(F239:F268)</f>
        <v/>
      </c>
      <c r="I268" s="5">
        <f>SLOPE(F$2:F$731,$A$2:$A$731)*$A268+INTERCEPT(F$2:F$731,$A$2:$A$731)</f>
        <v/>
      </c>
      <c r="J268" s="6" t="inlineStr"/>
    </row>
    <row r="269">
      <c r="A269" s="2" t="n">
        <v>45559</v>
      </c>
      <c r="B269" s="3" t="n">
        <v>82.67</v>
      </c>
      <c r="C269" s="4">
        <f>B269/B$2*100</f>
        <v/>
      </c>
      <c r="D269" s="5">
        <f>AVERAGE(B240:B269)</f>
        <v/>
      </c>
      <c r="E269" s="5">
        <f>SLOPE(B$2:B$731,$A$2:$A$731)*$A269+INTERCEPT(B$2:B$731,$A$2:$A$731)</f>
        <v/>
      </c>
      <c r="F269" s="3" t="n">
        <v>0.79</v>
      </c>
      <c r="G269" s="4">
        <f>F269/F$2*100</f>
        <v/>
      </c>
      <c r="H269" s="5">
        <f>AVERAGE(F240:F269)</f>
        <v/>
      </c>
      <c r="I269" s="5">
        <f>SLOPE(F$2:F$731,$A$2:$A$731)*$A269+INTERCEPT(F$2:F$731,$A$2:$A$731)</f>
        <v/>
      </c>
      <c r="J269" s="6" t="inlineStr"/>
    </row>
    <row r="270">
      <c r="A270" s="2" t="n">
        <v>45560</v>
      </c>
      <c r="B270" s="3" t="n">
        <v>82.68000000000001</v>
      </c>
      <c r="C270" s="4">
        <f>B270/B$2*100</f>
        <v/>
      </c>
      <c r="D270" s="5">
        <f>AVERAGE(B241:B270)</f>
        <v/>
      </c>
      <c r="E270" s="5">
        <f>SLOPE(B$2:B$731,$A$2:$A$731)*$A270+INTERCEPT(B$2:B$731,$A$2:$A$731)</f>
        <v/>
      </c>
      <c r="F270" s="3" t="n">
        <v>0.79</v>
      </c>
      <c r="G270" s="4">
        <f>F270/F$2*100</f>
        <v/>
      </c>
      <c r="H270" s="5">
        <f>AVERAGE(F241:F270)</f>
        <v/>
      </c>
      <c r="I270" s="5">
        <f>SLOPE(F$2:F$731,$A$2:$A$731)*$A270+INTERCEPT(F$2:F$731,$A$2:$A$731)</f>
        <v/>
      </c>
      <c r="J270" s="6" t="inlineStr"/>
    </row>
    <row r="271">
      <c r="A271" s="2" t="n">
        <v>45561</v>
      </c>
      <c r="B271" s="3" t="n">
        <v>82.69</v>
      </c>
      <c r="C271" s="4">
        <f>B271/B$2*100</f>
        <v/>
      </c>
      <c r="D271" s="5">
        <f>AVERAGE(B242:B271)</f>
        <v/>
      </c>
      <c r="E271" s="5">
        <f>SLOPE(B$2:B$731,$A$2:$A$731)*$A271+INTERCEPT(B$2:B$731,$A$2:$A$731)</f>
        <v/>
      </c>
      <c r="F271" s="3" t="n">
        <v>0.79</v>
      </c>
      <c r="G271" s="4">
        <f>F271/F$2*100</f>
        <v/>
      </c>
      <c r="H271" s="5">
        <f>AVERAGE(F242:F271)</f>
        <v/>
      </c>
      <c r="I271" s="5">
        <f>SLOPE(F$2:F$731,$A$2:$A$731)*$A271+INTERCEPT(F$2:F$731,$A$2:$A$731)</f>
        <v/>
      </c>
      <c r="J271" s="6" t="inlineStr"/>
    </row>
    <row r="272">
      <c r="A272" s="2" t="n">
        <v>45562</v>
      </c>
      <c r="B272" s="3" t="n">
        <v>82.7</v>
      </c>
      <c r="C272" s="4">
        <f>B272/B$2*100</f>
        <v/>
      </c>
      <c r="D272" s="5">
        <f>AVERAGE(B243:B272)</f>
        <v/>
      </c>
      <c r="E272" s="5">
        <f>SLOPE(B$2:B$731,$A$2:$A$731)*$A272+INTERCEPT(B$2:B$731,$A$2:$A$731)</f>
        <v/>
      </c>
      <c r="F272" s="3" t="n">
        <v>0.79</v>
      </c>
      <c r="G272" s="4">
        <f>F272/F$2*100</f>
        <v/>
      </c>
      <c r="H272" s="5">
        <f>AVERAGE(F243:F272)</f>
        <v/>
      </c>
      <c r="I272" s="5">
        <f>SLOPE(F$2:F$731,$A$2:$A$731)*$A272+INTERCEPT(F$2:F$731,$A$2:$A$731)</f>
        <v/>
      </c>
      <c r="J272" s="6" t="inlineStr"/>
    </row>
    <row r="273">
      <c r="A273" s="2" t="n">
        <v>45563</v>
      </c>
      <c r="B273" s="3" t="n">
        <v>82.70999999999999</v>
      </c>
      <c r="C273" s="4">
        <f>B273/B$2*100</f>
        <v/>
      </c>
      <c r="D273" s="5">
        <f>AVERAGE(B244:B273)</f>
        <v/>
      </c>
      <c r="E273" s="5">
        <f>SLOPE(B$2:B$731,$A$2:$A$731)*$A273+INTERCEPT(B$2:B$731,$A$2:$A$731)</f>
        <v/>
      </c>
      <c r="F273" s="3" t="n">
        <v>0.79</v>
      </c>
      <c r="G273" s="4">
        <f>F273/F$2*100</f>
        <v/>
      </c>
      <c r="H273" s="5">
        <f>AVERAGE(F244:F273)</f>
        <v/>
      </c>
      <c r="I273" s="5">
        <f>SLOPE(F$2:F$731,$A$2:$A$731)*$A273+INTERCEPT(F$2:F$731,$A$2:$A$731)</f>
        <v/>
      </c>
      <c r="J273" s="6" t="inlineStr">
        <is>
          <t>yes</t>
        </is>
      </c>
    </row>
    <row r="274">
      <c r="A274" s="2" t="n">
        <v>45564</v>
      </c>
      <c r="B274" s="3" t="n">
        <v>82.72</v>
      </c>
      <c r="C274" s="4">
        <f>B274/B$2*100</f>
        <v/>
      </c>
      <c r="D274" s="5">
        <f>AVERAGE(B245:B274)</f>
        <v/>
      </c>
      <c r="E274" s="5">
        <f>SLOPE(B$2:B$731,$A$2:$A$731)*$A274+INTERCEPT(B$2:B$731,$A$2:$A$731)</f>
        <v/>
      </c>
      <c r="F274" s="3" t="n">
        <v>0.79</v>
      </c>
      <c r="G274" s="4">
        <f>F274/F$2*100</f>
        <v/>
      </c>
      <c r="H274" s="5">
        <f>AVERAGE(F245:F274)</f>
        <v/>
      </c>
      <c r="I274" s="5">
        <f>SLOPE(F$2:F$731,$A$2:$A$731)*$A274+INTERCEPT(F$2:F$731,$A$2:$A$731)</f>
        <v/>
      </c>
      <c r="J274" s="6" t="inlineStr">
        <is>
          <t>yes</t>
        </is>
      </c>
    </row>
    <row r="275">
      <c r="A275" s="2" t="n">
        <v>45565</v>
      </c>
      <c r="B275" s="3" t="n">
        <v>82.73</v>
      </c>
      <c r="C275" s="4">
        <f>B275/B$2*100</f>
        <v/>
      </c>
      <c r="D275" s="5">
        <f>AVERAGE(B246:B275)</f>
        <v/>
      </c>
      <c r="E275" s="5">
        <f>SLOPE(B$2:B$731,$A$2:$A$731)*$A275+INTERCEPT(B$2:B$731,$A$2:$A$731)</f>
        <v/>
      </c>
      <c r="F275" s="3" t="n">
        <v>0.79</v>
      </c>
      <c r="G275" s="4">
        <f>F275/F$2*100</f>
        <v/>
      </c>
      <c r="H275" s="5">
        <f>AVERAGE(F246:F275)</f>
        <v/>
      </c>
      <c r="I275" s="5">
        <f>SLOPE(F$2:F$731,$A$2:$A$731)*$A275+INTERCEPT(F$2:F$731,$A$2:$A$731)</f>
        <v/>
      </c>
      <c r="J275" s="6" t="inlineStr"/>
    </row>
    <row r="276">
      <c r="A276" s="2" t="n">
        <v>45566</v>
      </c>
      <c r="B276" s="3" t="n">
        <v>82.73999999999999</v>
      </c>
      <c r="C276" s="4">
        <f>B276/B$2*100</f>
        <v/>
      </c>
      <c r="D276" s="5">
        <f>AVERAGE(B247:B276)</f>
        <v/>
      </c>
      <c r="E276" s="5">
        <f>SLOPE(B$2:B$731,$A$2:$A$731)*$A276+INTERCEPT(B$2:B$731,$A$2:$A$731)</f>
        <v/>
      </c>
      <c r="F276" s="3" t="n">
        <v>0.79</v>
      </c>
      <c r="G276" s="4">
        <f>F276/F$2*100</f>
        <v/>
      </c>
      <c r="H276" s="5">
        <f>AVERAGE(F247:F276)</f>
        <v/>
      </c>
      <c r="I276" s="5">
        <f>SLOPE(F$2:F$731,$A$2:$A$731)*$A276+INTERCEPT(F$2:F$731,$A$2:$A$731)</f>
        <v/>
      </c>
      <c r="J276" s="6" t="inlineStr"/>
    </row>
    <row r="277">
      <c r="A277" s="2" t="n">
        <v>45567</v>
      </c>
      <c r="B277" s="3" t="n">
        <v>82.75</v>
      </c>
      <c r="C277" s="4">
        <f>B277/B$2*100</f>
        <v/>
      </c>
      <c r="D277" s="5">
        <f>AVERAGE(B248:B277)</f>
        <v/>
      </c>
      <c r="E277" s="5">
        <f>SLOPE(B$2:B$731,$A$2:$A$731)*$A277+INTERCEPT(B$2:B$731,$A$2:$A$731)</f>
        <v/>
      </c>
      <c r="F277" s="3" t="n">
        <v>0.79</v>
      </c>
      <c r="G277" s="4">
        <f>F277/F$2*100</f>
        <v/>
      </c>
      <c r="H277" s="5">
        <f>AVERAGE(F248:F277)</f>
        <v/>
      </c>
      <c r="I277" s="5">
        <f>SLOPE(F$2:F$731,$A$2:$A$731)*$A277+INTERCEPT(F$2:F$731,$A$2:$A$731)</f>
        <v/>
      </c>
      <c r="J277" s="6" t="inlineStr"/>
    </row>
    <row r="278">
      <c r="A278" s="2" t="n">
        <v>45568</v>
      </c>
      <c r="B278" s="3" t="n">
        <v>82.76000000000001</v>
      </c>
      <c r="C278" s="4">
        <f>B278/B$2*100</f>
        <v/>
      </c>
      <c r="D278" s="5">
        <f>AVERAGE(B249:B278)</f>
        <v/>
      </c>
      <c r="E278" s="5">
        <f>SLOPE(B$2:B$731,$A$2:$A$731)*$A278+INTERCEPT(B$2:B$731,$A$2:$A$731)</f>
        <v/>
      </c>
      <c r="F278" s="3" t="n">
        <v>0.79</v>
      </c>
      <c r="G278" s="4">
        <f>F278/F$2*100</f>
        <v/>
      </c>
      <c r="H278" s="5">
        <f>AVERAGE(F249:F278)</f>
        <v/>
      </c>
      <c r="I278" s="5">
        <f>SLOPE(F$2:F$731,$A$2:$A$731)*$A278+INTERCEPT(F$2:F$731,$A$2:$A$731)</f>
        <v/>
      </c>
      <c r="J278" s="6" t="inlineStr"/>
    </row>
    <row r="279">
      <c r="A279" s="2" t="n">
        <v>45569</v>
      </c>
      <c r="B279" s="3" t="n">
        <v>82.77</v>
      </c>
      <c r="C279" s="4">
        <f>B279/B$2*100</f>
        <v/>
      </c>
      <c r="D279" s="5">
        <f>AVERAGE(B250:B279)</f>
        <v/>
      </c>
      <c r="E279" s="5">
        <f>SLOPE(B$2:B$731,$A$2:$A$731)*$A279+INTERCEPT(B$2:B$731,$A$2:$A$731)</f>
        <v/>
      </c>
      <c r="F279" s="3" t="n">
        <v>0.79</v>
      </c>
      <c r="G279" s="4">
        <f>F279/F$2*100</f>
        <v/>
      </c>
      <c r="H279" s="5">
        <f>AVERAGE(F250:F279)</f>
        <v/>
      </c>
      <c r="I279" s="5">
        <f>SLOPE(F$2:F$731,$A$2:$A$731)*$A279+INTERCEPT(F$2:F$731,$A$2:$A$731)</f>
        <v/>
      </c>
      <c r="J279" s="6" t="inlineStr"/>
    </row>
    <row r="280">
      <c r="A280" s="2" t="n">
        <v>45570</v>
      </c>
      <c r="B280" s="3" t="n">
        <v>82.78</v>
      </c>
      <c r="C280" s="4">
        <f>B280/B$2*100</f>
        <v/>
      </c>
      <c r="D280" s="5">
        <f>AVERAGE(B251:B280)</f>
        <v/>
      </c>
      <c r="E280" s="5">
        <f>SLOPE(B$2:B$731,$A$2:$A$731)*$A280+INTERCEPT(B$2:B$731,$A$2:$A$731)</f>
        <v/>
      </c>
      <c r="F280" s="3" t="n">
        <v>0.79</v>
      </c>
      <c r="G280" s="4">
        <f>F280/F$2*100</f>
        <v/>
      </c>
      <c r="H280" s="5">
        <f>AVERAGE(F251:F280)</f>
        <v/>
      </c>
      <c r="I280" s="5">
        <f>SLOPE(F$2:F$731,$A$2:$A$731)*$A280+INTERCEPT(F$2:F$731,$A$2:$A$731)</f>
        <v/>
      </c>
      <c r="J280" s="6" t="inlineStr">
        <is>
          <t>yes</t>
        </is>
      </c>
    </row>
    <row r="281">
      <c r="A281" s="2" t="n">
        <v>45571</v>
      </c>
      <c r="B281" s="3" t="n">
        <v>82.79000000000001</v>
      </c>
      <c r="C281" s="4">
        <f>B281/B$2*100</f>
        <v/>
      </c>
      <c r="D281" s="5">
        <f>AVERAGE(B252:B281)</f>
        <v/>
      </c>
      <c r="E281" s="5">
        <f>SLOPE(B$2:B$731,$A$2:$A$731)*$A281+INTERCEPT(B$2:B$731,$A$2:$A$731)</f>
        <v/>
      </c>
      <c r="F281" s="3" t="n">
        <v>0.79</v>
      </c>
      <c r="G281" s="4">
        <f>F281/F$2*100</f>
        <v/>
      </c>
      <c r="H281" s="5">
        <f>AVERAGE(F252:F281)</f>
        <v/>
      </c>
      <c r="I281" s="5">
        <f>SLOPE(F$2:F$731,$A$2:$A$731)*$A281+INTERCEPT(F$2:F$731,$A$2:$A$731)</f>
        <v/>
      </c>
      <c r="J281" s="6" t="inlineStr">
        <is>
          <t>yes</t>
        </is>
      </c>
    </row>
    <row r="282">
      <c r="A282" s="2" t="n">
        <v>45572</v>
      </c>
      <c r="B282" s="3" t="n">
        <v>82.8</v>
      </c>
      <c r="C282" s="4">
        <f>B282/B$2*100</f>
        <v/>
      </c>
      <c r="D282" s="5">
        <f>AVERAGE(B253:B282)</f>
        <v/>
      </c>
      <c r="E282" s="5">
        <f>SLOPE(B$2:B$731,$A$2:$A$731)*$A282+INTERCEPT(B$2:B$731,$A$2:$A$731)</f>
        <v/>
      </c>
      <c r="F282" s="3" t="n">
        <v>0.79</v>
      </c>
      <c r="G282" s="4">
        <f>F282/F$2*100</f>
        <v/>
      </c>
      <c r="H282" s="5">
        <f>AVERAGE(F253:F282)</f>
        <v/>
      </c>
      <c r="I282" s="5">
        <f>SLOPE(F$2:F$731,$A$2:$A$731)*$A282+INTERCEPT(F$2:F$731,$A$2:$A$731)</f>
        <v/>
      </c>
      <c r="J282" s="6" t="inlineStr"/>
    </row>
    <row r="283">
      <c r="A283" s="2" t="n">
        <v>45573</v>
      </c>
      <c r="B283" s="3" t="n">
        <v>82.81</v>
      </c>
      <c r="C283" s="4">
        <f>B283/B$2*100</f>
        <v/>
      </c>
      <c r="D283" s="5">
        <f>AVERAGE(B254:B283)</f>
        <v/>
      </c>
      <c r="E283" s="5">
        <f>SLOPE(B$2:B$731,$A$2:$A$731)*$A283+INTERCEPT(B$2:B$731,$A$2:$A$731)</f>
        <v/>
      </c>
      <c r="F283" s="3" t="n">
        <v>0.79</v>
      </c>
      <c r="G283" s="4">
        <f>F283/F$2*100</f>
        <v/>
      </c>
      <c r="H283" s="5">
        <f>AVERAGE(F254:F283)</f>
        <v/>
      </c>
      <c r="I283" s="5">
        <f>SLOPE(F$2:F$731,$A$2:$A$731)*$A283+INTERCEPT(F$2:F$731,$A$2:$A$731)</f>
        <v/>
      </c>
      <c r="J283" s="6" t="inlineStr"/>
    </row>
    <row r="284">
      <c r="A284" s="2" t="n">
        <v>45574</v>
      </c>
      <c r="B284" s="3" t="n">
        <v>82.81999999999999</v>
      </c>
      <c r="C284" s="4">
        <f>B284/B$2*100</f>
        <v/>
      </c>
      <c r="D284" s="5">
        <f>AVERAGE(B255:B284)</f>
        <v/>
      </c>
      <c r="E284" s="5">
        <f>SLOPE(B$2:B$731,$A$2:$A$731)*$A284+INTERCEPT(B$2:B$731,$A$2:$A$731)</f>
        <v/>
      </c>
      <c r="F284" s="3" t="n">
        <v>0.79</v>
      </c>
      <c r="G284" s="4">
        <f>F284/F$2*100</f>
        <v/>
      </c>
      <c r="H284" s="5">
        <f>AVERAGE(F255:F284)</f>
        <v/>
      </c>
      <c r="I284" s="5">
        <f>SLOPE(F$2:F$731,$A$2:$A$731)*$A284+INTERCEPT(F$2:F$731,$A$2:$A$731)</f>
        <v/>
      </c>
      <c r="J284" s="6" t="inlineStr"/>
    </row>
    <row r="285">
      <c r="A285" s="2" t="n">
        <v>45575</v>
      </c>
      <c r="B285" s="3" t="n">
        <v>82.83</v>
      </c>
      <c r="C285" s="4">
        <f>B285/B$2*100</f>
        <v/>
      </c>
      <c r="D285" s="5">
        <f>AVERAGE(B256:B285)</f>
        <v/>
      </c>
      <c r="E285" s="5">
        <f>SLOPE(B$2:B$731,$A$2:$A$731)*$A285+INTERCEPT(B$2:B$731,$A$2:$A$731)</f>
        <v/>
      </c>
      <c r="F285" s="3" t="n">
        <v>0.79</v>
      </c>
      <c r="G285" s="4">
        <f>F285/F$2*100</f>
        <v/>
      </c>
      <c r="H285" s="5">
        <f>AVERAGE(F256:F285)</f>
        <v/>
      </c>
      <c r="I285" s="5">
        <f>SLOPE(F$2:F$731,$A$2:$A$731)*$A285+INTERCEPT(F$2:F$731,$A$2:$A$731)</f>
        <v/>
      </c>
      <c r="J285" s="6" t="inlineStr"/>
    </row>
    <row r="286">
      <c r="A286" s="2" t="n">
        <v>45576</v>
      </c>
      <c r="B286" s="3" t="n">
        <v>82.84</v>
      </c>
      <c r="C286" s="4">
        <f>B286/B$2*100</f>
        <v/>
      </c>
      <c r="D286" s="5">
        <f>AVERAGE(B257:B286)</f>
        <v/>
      </c>
      <c r="E286" s="5">
        <f>SLOPE(B$2:B$731,$A$2:$A$731)*$A286+INTERCEPT(B$2:B$731,$A$2:$A$731)</f>
        <v/>
      </c>
      <c r="F286" s="3" t="n">
        <v>0.79</v>
      </c>
      <c r="G286" s="4">
        <f>F286/F$2*100</f>
        <v/>
      </c>
      <c r="H286" s="5">
        <f>AVERAGE(F257:F286)</f>
        <v/>
      </c>
      <c r="I286" s="5">
        <f>SLOPE(F$2:F$731,$A$2:$A$731)*$A286+INTERCEPT(F$2:F$731,$A$2:$A$731)</f>
        <v/>
      </c>
      <c r="J286" s="6" t="inlineStr"/>
    </row>
    <row r="287">
      <c r="A287" s="2" t="n">
        <v>45577</v>
      </c>
      <c r="B287" s="3" t="n">
        <v>82.84999999999999</v>
      </c>
      <c r="C287" s="4">
        <f>B287/B$2*100</f>
        <v/>
      </c>
      <c r="D287" s="5">
        <f>AVERAGE(B258:B287)</f>
        <v/>
      </c>
      <c r="E287" s="5">
        <f>SLOPE(B$2:B$731,$A$2:$A$731)*$A287+INTERCEPT(B$2:B$731,$A$2:$A$731)</f>
        <v/>
      </c>
      <c r="F287" s="3" t="n">
        <v>0.79</v>
      </c>
      <c r="G287" s="4">
        <f>F287/F$2*100</f>
        <v/>
      </c>
      <c r="H287" s="5">
        <f>AVERAGE(F258:F287)</f>
        <v/>
      </c>
      <c r="I287" s="5">
        <f>SLOPE(F$2:F$731,$A$2:$A$731)*$A287+INTERCEPT(F$2:F$731,$A$2:$A$731)</f>
        <v/>
      </c>
      <c r="J287" s="6" t="inlineStr">
        <is>
          <t>yes</t>
        </is>
      </c>
    </row>
    <row r="288">
      <c r="A288" s="2" t="n">
        <v>45578</v>
      </c>
      <c r="B288" s="3" t="n">
        <v>82.86</v>
      </c>
      <c r="C288" s="4">
        <f>B288/B$2*100</f>
        <v/>
      </c>
      <c r="D288" s="5">
        <f>AVERAGE(B259:B288)</f>
        <v/>
      </c>
      <c r="E288" s="5">
        <f>SLOPE(B$2:B$731,$A$2:$A$731)*$A288+INTERCEPT(B$2:B$731,$A$2:$A$731)</f>
        <v/>
      </c>
      <c r="F288" s="3" t="n">
        <v>0.79</v>
      </c>
      <c r="G288" s="4">
        <f>F288/F$2*100</f>
        <v/>
      </c>
      <c r="H288" s="5">
        <f>AVERAGE(F259:F288)</f>
        <v/>
      </c>
      <c r="I288" s="5">
        <f>SLOPE(F$2:F$731,$A$2:$A$731)*$A288+INTERCEPT(F$2:F$731,$A$2:$A$731)</f>
        <v/>
      </c>
      <c r="J288" s="6" t="inlineStr">
        <is>
          <t>yes</t>
        </is>
      </c>
    </row>
    <row r="289">
      <c r="A289" s="2" t="n">
        <v>45579</v>
      </c>
      <c r="B289" s="3" t="n">
        <v>82.87</v>
      </c>
      <c r="C289" s="4">
        <f>B289/B$2*100</f>
        <v/>
      </c>
      <c r="D289" s="5">
        <f>AVERAGE(B260:B289)</f>
        <v/>
      </c>
      <c r="E289" s="5">
        <f>SLOPE(B$2:B$731,$A$2:$A$731)*$A289+INTERCEPT(B$2:B$731,$A$2:$A$731)</f>
        <v/>
      </c>
      <c r="F289" s="3" t="n">
        <v>0.79</v>
      </c>
      <c r="G289" s="4">
        <f>F289/F$2*100</f>
        <v/>
      </c>
      <c r="H289" s="5">
        <f>AVERAGE(F260:F289)</f>
        <v/>
      </c>
      <c r="I289" s="5">
        <f>SLOPE(F$2:F$731,$A$2:$A$731)*$A289+INTERCEPT(F$2:F$731,$A$2:$A$731)</f>
        <v/>
      </c>
      <c r="J289" s="6" t="inlineStr"/>
    </row>
    <row r="290">
      <c r="A290" s="2" t="n">
        <v>45580</v>
      </c>
      <c r="B290" s="3" t="n">
        <v>82.88</v>
      </c>
      <c r="C290" s="4">
        <f>B290/B$2*100</f>
        <v/>
      </c>
      <c r="D290" s="5">
        <f>AVERAGE(B261:B290)</f>
        <v/>
      </c>
      <c r="E290" s="5">
        <f>SLOPE(B$2:B$731,$A$2:$A$731)*$A290+INTERCEPT(B$2:B$731,$A$2:$A$731)</f>
        <v/>
      </c>
      <c r="F290" s="3" t="n">
        <v>0.79</v>
      </c>
      <c r="G290" s="4">
        <f>F290/F$2*100</f>
        <v/>
      </c>
      <c r="H290" s="5">
        <f>AVERAGE(F261:F290)</f>
        <v/>
      </c>
      <c r="I290" s="5">
        <f>SLOPE(F$2:F$731,$A$2:$A$731)*$A290+INTERCEPT(F$2:F$731,$A$2:$A$731)</f>
        <v/>
      </c>
      <c r="J290" s="6" t="inlineStr"/>
    </row>
    <row r="291">
      <c r="A291" s="2" t="n">
        <v>45581</v>
      </c>
      <c r="B291" s="3" t="n">
        <v>82.89</v>
      </c>
      <c r="C291" s="4">
        <f>B291/B$2*100</f>
        <v/>
      </c>
      <c r="D291" s="5">
        <f>AVERAGE(B262:B291)</f>
        <v/>
      </c>
      <c r="E291" s="5">
        <f>SLOPE(B$2:B$731,$A$2:$A$731)*$A291+INTERCEPT(B$2:B$731,$A$2:$A$731)</f>
        <v/>
      </c>
      <c r="F291" s="3" t="n">
        <v>0.79</v>
      </c>
      <c r="G291" s="4">
        <f>F291/F$2*100</f>
        <v/>
      </c>
      <c r="H291" s="5">
        <f>AVERAGE(F262:F291)</f>
        <v/>
      </c>
      <c r="I291" s="5">
        <f>SLOPE(F$2:F$731,$A$2:$A$731)*$A291+INTERCEPT(F$2:F$731,$A$2:$A$731)</f>
        <v/>
      </c>
      <c r="J291" s="6" t="inlineStr"/>
    </row>
    <row r="292">
      <c r="A292" s="2" t="n">
        <v>45582</v>
      </c>
      <c r="B292" s="3" t="n">
        <v>82.90000000000001</v>
      </c>
      <c r="C292" s="4">
        <f>B292/B$2*100</f>
        <v/>
      </c>
      <c r="D292" s="5">
        <f>AVERAGE(B263:B292)</f>
        <v/>
      </c>
      <c r="E292" s="5">
        <f>SLOPE(B$2:B$731,$A$2:$A$731)*$A292+INTERCEPT(B$2:B$731,$A$2:$A$731)</f>
        <v/>
      </c>
      <c r="F292" s="3" t="n">
        <v>0.79</v>
      </c>
      <c r="G292" s="4">
        <f>F292/F$2*100</f>
        <v/>
      </c>
      <c r="H292" s="5">
        <f>AVERAGE(F263:F292)</f>
        <v/>
      </c>
      <c r="I292" s="5">
        <f>SLOPE(F$2:F$731,$A$2:$A$731)*$A292+INTERCEPT(F$2:F$731,$A$2:$A$731)</f>
        <v/>
      </c>
      <c r="J292" s="6" t="inlineStr"/>
    </row>
    <row r="293">
      <c r="A293" s="2" t="n">
        <v>45583</v>
      </c>
      <c r="B293" s="3" t="n">
        <v>82.91</v>
      </c>
      <c r="C293" s="4">
        <f>B293/B$2*100</f>
        <v/>
      </c>
      <c r="D293" s="5">
        <f>AVERAGE(B264:B293)</f>
        <v/>
      </c>
      <c r="E293" s="5">
        <f>SLOPE(B$2:B$731,$A$2:$A$731)*$A293+INTERCEPT(B$2:B$731,$A$2:$A$731)</f>
        <v/>
      </c>
      <c r="F293" s="3" t="n">
        <v>0.79</v>
      </c>
      <c r="G293" s="4">
        <f>F293/F$2*100</f>
        <v/>
      </c>
      <c r="H293" s="5">
        <f>AVERAGE(F264:F293)</f>
        <v/>
      </c>
      <c r="I293" s="5">
        <f>SLOPE(F$2:F$731,$A$2:$A$731)*$A293+INTERCEPT(F$2:F$731,$A$2:$A$731)</f>
        <v/>
      </c>
      <c r="J293" s="6" t="inlineStr"/>
    </row>
    <row r="294">
      <c r="A294" s="2" t="n">
        <v>45584</v>
      </c>
      <c r="B294" s="3" t="n">
        <v>82.92</v>
      </c>
      <c r="C294" s="4">
        <f>B294/B$2*100</f>
        <v/>
      </c>
      <c r="D294" s="5">
        <f>AVERAGE(B265:B294)</f>
        <v/>
      </c>
      <c r="E294" s="5">
        <f>SLOPE(B$2:B$731,$A$2:$A$731)*$A294+INTERCEPT(B$2:B$731,$A$2:$A$731)</f>
        <v/>
      </c>
      <c r="F294" s="3" t="n">
        <v>0.79</v>
      </c>
      <c r="G294" s="4">
        <f>F294/F$2*100</f>
        <v/>
      </c>
      <c r="H294" s="5">
        <f>AVERAGE(F265:F294)</f>
        <v/>
      </c>
      <c r="I294" s="5">
        <f>SLOPE(F$2:F$731,$A$2:$A$731)*$A294+INTERCEPT(F$2:F$731,$A$2:$A$731)</f>
        <v/>
      </c>
      <c r="J294" s="6" t="inlineStr">
        <is>
          <t>yes</t>
        </is>
      </c>
    </row>
    <row r="295">
      <c r="A295" s="2" t="n">
        <v>45585</v>
      </c>
      <c r="B295" s="3" t="n">
        <v>82.93000000000001</v>
      </c>
      <c r="C295" s="4">
        <f>B295/B$2*100</f>
        <v/>
      </c>
      <c r="D295" s="5">
        <f>AVERAGE(B266:B295)</f>
        <v/>
      </c>
      <c r="E295" s="5">
        <f>SLOPE(B$2:B$731,$A$2:$A$731)*$A295+INTERCEPT(B$2:B$731,$A$2:$A$731)</f>
        <v/>
      </c>
      <c r="F295" s="3" t="n">
        <v>0.79</v>
      </c>
      <c r="G295" s="4">
        <f>F295/F$2*100</f>
        <v/>
      </c>
      <c r="H295" s="5">
        <f>AVERAGE(F266:F295)</f>
        <v/>
      </c>
      <c r="I295" s="5">
        <f>SLOPE(F$2:F$731,$A$2:$A$731)*$A295+INTERCEPT(F$2:F$731,$A$2:$A$731)</f>
        <v/>
      </c>
      <c r="J295" s="6" t="inlineStr">
        <is>
          <t>yes</t>
        </is>
      </c>
    </row>
    <row r="296">
      <c r="A296" s="2" t="n">
        <v>45586</v>
      </c>
      <c r="B296" s="3" t="n">
        <v>82.94</v>
      </c>
      <c r="C296" s="4">
        <f>B296/B$2*100</f>
        <v/>
      </c>
      <c r="D296" s="5">
        <f>AVERAGE(B267:B296)</f>
        <v/>
      </c>
      <c r="E296" s="5">
        <f>SLOPE(B$2:B$731,$A$2:$A$731)*$A296+INTERCEPT(B$2:B$731,$A$2:$A$731)</f>
        <v/>
      </c>
      <c r="F296" s="3" t="n">
        <v>0.79</v>
      </c>
      <c r="G296" s="4">
        <f>F296/F$2*100</f>
        <v/>
      </c>
      <c r="H296" s="5">
        <f>AVERAGE(F267:F296)</f>
        <v/>
      </c>
      <c r="I296" s="5">
        <f>SLOPE(F$2:F$731,$A$2:$A$731)*$A296+INTERCEPT(F$2:F$731,$A$2:$A$731)</f>
        <v/>
      </c>
      <c r="J296" s="6" t="inlineStr"/>
    </row>
    <row r="297">
      <c r="A297" s="2" t="n">
        <v>45587</v>
      </c>
      <c r="B297" s="3" t="n">
        <v>82.95</v>
      </c>
      <c r="C297" s="4">
        <f>B297/B$2*100</f>
        <v/>
      </c>
      <c r="D297" s="5">
        <f>AVERAGE(B268:B297)</f>
        <v/>
      </c>
      <c r="E297" s="5">
        <f>SLOPE(B$2:B$731,$A$2:$A$731)*$A297+INTERCEPT(B$2:B$731,$A$2:$A$731)</f>
        <v/>
      </c>
      <c r="F297" s="3" t="n">
        <v>0.79</v>
      </c>
      <c r="G297" s="4">
        <f>F297/F$2*100</f>
        <v/>
      </c>
      <c r="H297" s="5">
        <f>AVERAGE(F268:F297)</f>
        <v/>
      </c>
      <c r="I297" s="5">
        <f>SLOPE(F$2:F$731,$A$2:$A$731)*$A297+INTERCEPT(F$2:F$731,$A$2:$A$731)</f>
        <v/>
      </c>
      <c r="J297" s="6" t="inlineStr"/>
    </row>
    <row r="298">
      <c r="A298" s="2" t="n">
        <v>45588</v>
      </c>
      <c r="B298" s="3" t="n">
        <v>82.95999999999999</v>
      </c>
      <c r="C298" s="4">
        <f>B298/B$2*100</f>
        <v/>
      </c>
      <c r="D298" s="5">
        <f>AVERAGE(B269:B298)</f>
        <v/>
      </c>
      <c r="E298" s="5">
        <f>SLOPE(B$2:B$731,$A$2:$A$731)*$A298+INTERCEPT(B$2:B$731,$A$2:$A$731)</f>
        <v/>
      </c>
      <c r="F298" s="3" t="n">
        <v>0.79</v>
      </c>
      <c r="G298" s="4">
        <f>F298/F$2*100</f>
        <v/>
      </c>
      <c r="H298" s="5">
        <f>AVERAGE(F269:F298)</f>
        <v/>
      </c>
      <c r="I298" s="5">
        <f>SLOPE(F$2:F$731,$A$2:$A$731)*$A298+INTERCEPT(F$2:F$731,$A$2:$A$731)</f>
        <v/>
      </c>
      <c r="J298" s="6" t="inlineStr"/>
    </row>
    <row r="299">
      <c r="A299" s="2" t="n">
        <v>45589</v>
      </c>
      <c r="B299" s="3" t="n">
        <v>82.97</v>
      </c>
      <c r="C299" s="4">
        <f>B299/B$2*100</f>
        <v/>
      </c>
      <c r="D299" s="5">
        <f>AVERAGE(B270:B299)</f>
        <v/>
      </c>
      <c r="E299" s="5">
        <f>SLOPE(B$2:B$731,$A$2:$A$731)*$A299+INTERCEPT(B$2:B$731,$A$2:$A$731)</f>
        <v/>
      </c>
      <c r="F299" s="3" t="n">
        <v>0.79</v>
      </c>
      <c r="G299" s="4">
        <f>F299/F$2*100</f>
        <v/>
      </c>
      <c r="H299" s="5">
        <f>AVERAGE(F270:F299)</f>
        <v/>
      </c>
      <c r="I299" s="5">
        <f>SLOPE(F$2:F$731,$A$2:$A$731)*$A299+INTERCEPT(F$2:F$731,$A$2:$A$731)</f>
        <v/>
      </c>
      <c r="J299" s="6" t="inlineStr"/>
    </row>
    <row r="300">
      <c r="A300" s="2" t="n">
        <v>45590</v>
      </c>
      <c r="B300" s="3" t="n">
        <v>82.98</v>
      </c>
      <c r="C300" s="4">
        <f>B300/B$2*100</f>
        <v/>
      </c>
      <c r="D300" s="5">
        <f>AVERAGE(B271:B300)</f>
        <v/>
      </c>
      <c r="E300" s="5">
        <f>SLOPE(B$2:B$731,$A$2:$A$731)*$A300+INTERCEPT(B$2:B$731,$A$2:$A$731)</f>
        <v/>
      </c>
      <c r="F300" s="3" t="n">
        <v>0.79</v>
      </c>
      <c r="G300" s="4">
        <f>F300/F$2*100</f>
        <v/>
      </c>
      <c r="H300" s="5">
        <f>AVERAGE(F271:F300)</f>
        <v/>
      </c>
      <c r="I300" s="5">
        <f>SLOPE(F$2:F$731,$A$2:$A$731)*$A300+INTERCEPT(F$2:F$731,$A$2:$A$731)</f>
        <v/>
      </c>
      <c r="J300" s="6" t="inlineStr"/>
    </row>
    <row r="301">
      <c r="A301" s="2" t="n">
        <v>45591</v>
      </c>
      <c r="B301" s="3" t="n">
        <v>82.98999999999999</v>
      </c>
      <c r="C301" s="4">
        <f>B301/B$2*100</f>
        <v/>
      </c>
      <c r="D301" s="5">
        <f>AVERAGE(B272:B301)</f>
        <v/>
      </c>
      <c r="E301" s="5">
        <f>SLOPE(B$2:B$731,$A$2:$A$731)*$A301+INTERCEPT(B$2:B$731,$A$2:$A$731)</f>
        <v/>
      </c>
      <c r="F301" s="3" t="n">
        <v>0.79</v>
      </c>
      <c r="G301" s="4">
        <f>F301/F$2*100</f>
        <v/>
      </c>
      <c r="H301" s="5">
        <f>AVERAGE(F272:F301)</f>
        <v/>
      </c>
      <c r="I301" s="5">
        <f>SLOPE(F$2:F$731,$A$2:$A$731)*$A301+INTERCEPT(F$2:F$731,$A$2:$A$731)</f>
        <v/>
      </c>
      <c r="J301" s="6" t="inlineStr">
        <is>
          <t>yes</t>
        </is>
      </c>
    </row>
    <row r="302">
      <c r="A302" s="2" t="n">
        <v>45592</v>
      </c>
      <c r="B302" s="3" t="n">
        <v>83</v>
      </c>
      <c r="C302" s="4">
        <f>B302/B$2*100</f>
        <v/>
      </c>
      <c r="D302" s="5">
        <f>AVERAGE(B273:B302)</f>
        <v/>
      </c>
      <c r="E302" s="5">
        <f>SLOPE(B$2:B$731,$A$2:$A$731)*$A302+INTERCEPT(B$2:B$731,$A$2:$A$731)</f>
        <v/>
      </c>
      <c r="F302" s="3" t="n">
        <v>0.79</v>
      </c>
      <c r="G302" s="4">
        <f>F302/F$2*100</f>
        <v/>
      </c>
      <c r="H302" s="5">
        <f>AVERAGE(F273:F302)</f>
        <v/>
      </c>
      <c r="I302" s="5">
        <f>SLOPE(F$2:F$731,$A$2:$A$731)*$A302+INTERCEPT(F$2:F$731,$A$2:$A$731)</f>
        <v/>
      </c>
      <c r="J302" s="6" t="inlineStr">
        <is>
          <t>yes</t>
        </is>
      </c>
    </row>
    <row r="303">
      <c r="A303" s="2" t="n">
        <v>45593</v>
      </c>
      <c r="B303" s="3" t="n">
        <v>83.01000000000001</v>
      </c>
      <c r="C303" s="4">
        <f>B303/B$2*100</f>
        <v/>
      </c>
      <c r="D303" s="5">
        <f>AVERAGE(B274:B303)</f>
        <v/>
      </c>
      <c r="E303" s="5">
        <f>SLOPE(B$2:B$731,$A$2:$A$731)*$A303+INTERCEPT(B$2:B$731,$A$2:$A$731)</f>
        <v/>
      </c>
      <c r="F303" s="3" t="n">
        <v>0.79</v>
      </c>
      <c r="G303" s="4">
        <f>F303/F$2*100</f>
        <v/>
      </c>
      <c r="H303" s="5">
        <f>AVERAGE(F274:F303)</f>
        <v/>
      </c>
      <c r="I303" s="5">
        <f>SLOPE(F$2:F$731,$A$2:$A$731)*$A303+INTERCEPT(F$2:F$731,$A$2:$A$731)</f>
        <v/>
      </c>
      <c r="J303" s="6" t="inlineStr"/>
    </row>
    <row r="304">
      <c r="A304" s="2" t="n">
        <v>45594</v>
      </c>
      <c r="B304" s="3" t="n">
        <v>83.02</v>
      </c>
      <c r="C304" s="4">
        <f>B304/B$2*100</f>
        <v/>
      </c>
      <c r="D304" s="5">
        <f>AVERAGE(B275:B304)</f>
        <v/>
      </c>
      <c r="E304" s="5">
        <f>SLOPE(B$2:B$731,$A$2:$A$731)*$A304+INTERCEPT(B$2:B$731,$A$2:$A$731)</f>
        <v/>
      </c>
      <c r="F304" s="3" t="n">
        <v>0.79</v>
      </c>
      <c r="G304" s="4">
        <f>F304/F$2*100</f>
        <v/>
      </c>
      <c r="H304" s="5">
        <f>AVERAGE(F275:F304)</f>
        <v/>
      </c>
      <c r="I304" s="5">
        <f>SLOPE(F$2:F$731,$A$2:$A$731)*$A304+INTERCEPT(F$2:F$731,$A$2:$A$731)</f>
        <v/>
      </c>
      <c r="J304" s="6" t="inlineStr"/>
    </row>
    <row r="305">
      <c r="A305" s="2" t="n">
        <v>45595</v>
      </c>
      <c r="B305" s="3" t="n">
        <v>83.03</v>
      </c>
      <c r="C305" s="4">
        <f>B305/B$2*100</f>
        <v/>
      </c>
      <c r="D305" s="5">
        <f>AVERAGE(B276:B305)</f>
        <v/>
      </c>
      <c r="E305" s="5">
        <f>SLOPE(B$2:B$731,$A$2:$A$731)*$A305+INTERCEPT(B$2:B$731,$A$2:$A$731)</f>
        <v/>
      </c>
      <c r="F305" s="3" t="n">
        <v>0.79</v>
      </c>
      <c r="G305" s="4">
        <f>F305/F$2*100</f>
        <v/>
      </c>
      <c r="H305" s="5">
        <f>AVERAGE(F276:F305)</f>
        <v/>
      </c>
      <c r="I305" s="5">
        <f>SLOPE(F$2:F$731,$A$2:$A$731)*$A305+INTERCEPT(F$2:F$731,$A$2:$A$731)</f>
        <v/>
      </c>
      <c r="J305" s="6" t="inlineStr"/>
    </row>
    <row r="306">
      <c r="A306" s="2" t="n">
        <v>45596</v>
      </c>
      <c r="B306" s="3" t="n">
        <v>83.04000000000001</v>
      </c>
      <c r="C306" s="4">
        <f>B306/B$2*100</f>
        <v/>
      </c>
      <c r="D306" s="5">
        <f>AVERAGE(B277:B306)</f>
        <v/>
      </c>
      <c r="E306" s="5">
        <f>SLOPE(B$2:B$731,$A$2:$A$731)*$A306+INTERCEPT(B$2:B$731,$A$2:$A$731)</f>
        <v/>
      </c>
      <c r="F306" s="3" t="n">
        <v>0.79</v>
      </c>
      <c r="G306" s="4">
        <f>F306/F$2*100</f>
        <v/>
      </c>
      <c r="H306" s="5">
        <f>AVERAGE(F277:F306)</f>
        <v/>
      </c>
      <c r="I306" s="5">
        <f>SLOPE(F$2:F$731,$A$2:$A$731)*$A306+INTERCEPT(F$2:F$731,$A$2:$A$731)</f>
        <v/>
      </c>
      <c r="J306" s="6" t="inlineStr"/>
    </row>
    <row r="307">
      <c r="A307" s="2" t="n">
        <v>45597</v>
      </c>
      <c r="B307" s="3" t="n">
        <v>83.05</v>
      </c>
      <c r="C307" s="4">
        <f>B307/B$2*100</f>
        <v/>
      </c>
      <c r="D307" s="5">
        <f>AVERAGE(B278:B307)</f>
        <v/>
      </c>
      <c r="E307" s="5">
        <f>SLOPE(B$2:B$731,$A$2:$A$731)*$A307+INTERCEPT(B$2:B$731,$A$2:$A$731)</f>
        <v/>
      </c>
      <c r="F307" s="3" t="n">
        <v>0.79</v>
      </c>
      <c r="G307" s="4">
        <f>F307/F$2*100</f>
        <v/>
      </c>
      <c r="H307" s="5">
        <f>AVERAGE(F278:F307)</f>
        <v/>
      </c>
      <c r="I307" s="5">
        <f>SLOPE(F$2:F$731,$A$2:$A$731)*$A307+INTERCEPT(F$2:F$731,$A$2:$A$731)</f>
        <v/>
      </c>
      <c r="J307" s="6" t="inlineStr"/>
    </row>
    <row r="308">
      <c r="A308" s="2" t="n">
        <v>45598</v>
      </c>
      <c r="B308" s="3" t="n">
        <v>83.06</v>
      </c>
      <c r="C308" s="4">
        <f>B308/B$2*100</f>
        <v/>
      </c>
      <c r="D308" s="5">
        <f>AVERAGE(B279:B308)</f>
        <v/>
      </c>
      <c r="E308" s="5">
        <f>SLOPE(B$2:B$731,$A$2:$A$731)*$A308+INTERCEPT(B$2:B$731,$A$2:$A$731)</f>
        <v/>
      </c>
      <c r="F308" s="3" t="n">
        <v>0.79</v>
      </c>
      <c r="G308" s="4">
        <f>F308/F$2*100</f>
        <v/>
      </c>
      <c r="H308" s="5">
        <f>AVERAGE(F279:F308)</f>
        <v/>
      </c>
      <c r="I308" s="5">
        <f>SLOPE(F$2:F$731,$A$2:$A$731)*$A308+INTERCEPT(F$2:F$731,$A$2:$A$731)</f>
        <v/>
      </c>
      <c r="J308" s="6" t="inlineStr">
        <is>
          <t>yes</t>
        </is>
      </c>
    </row>
    <row r="309">
      <c r="A309" s="2" t="n">
        <v>45599</v>
      </c>
      <c r="B309" s="3" t="n">
        <v>83.06999999999999</v>
      </c>
      <c r="C309" s="4">
        <f>B309/B$2*100</f>
        <v/>
      </c>
      <c r="D309" s="5">
        <f>AVERAGE(B280:B309)</f>
        <v/>
      </c>
      <c r="E309" s="5">
        <f>SLOPE(B$2:B$731,$A$2:$A$731)*$A309+INTERCEPT(B$2:B$731,$A$2:$A$731)</f>
        <v/>
      </c>
      <c r="F309" s="3" t="n">
        <v>0.79</v>
      </c>
      <c r="G309" s="4">
        <f>F309/F$2*100</f>
        <v/>
      </c>
      <c r="H309" s="5">
        <f>AVERAGE(F280:F309)</f>
        <v/>
      </c>
      <c r="I309" s="5">
        <f>SLOPE(F$2:F$731,$A$2:$A$731)*$A309+INTERCEPT(F$2:F$731,$A$2:$A$731)</f>
        <v/>
      </c>
      <c r="J309" s="6" t="inlineStr">
        <is>
          <t>yes</t>
        </is>
      </c>
    </row>
    <row r="310">
      <c r="A310" s="2" t="n">
        <v>45600</v>
      </c>
      <c r="B310" s="3" t="n">
        <v>83.08</v>
      </c>
      <c r="C310" s="4">
        <f>B310/B$2*100</f>
        <v/>
      </c>
      <c r="D310" s="5">
        <f>AVERAGE(B281:B310)</f>
        <v/>
      </c>
      <c r="E310" s="5">
        <f>SLOPE(B$2:B$731,$A$2:$A$731)*$A310+INTERCEPT(B$2:B$731,$A$2:$A$731)</f>
        <v/>
      </c>
      <c r="F310" s="3" t="n">
        <v>0.79</v>
      </c>
      <c r="G310" s="4">
        <f>F310/F$2*100</f>
        <v/>
      </c>
      <c r="H310" s="5">
        <f>AVERAGE(F281:F310)</f>
        <v/>
      </c>
      <c r="I310" s="5">
        <f>SLOPE(F$2:F$731,$A$2:$A$731)*$A310+INTERCEPT(F$2:F$731,$A$2:$A$731)</f>
        <v/>
      </c>
      <c r="J310" s="6" t="inlineStr"/>
    </row>
    <row r="311">
      <c r="A311" s="2" t="n">
        <v>45601</v>
      </c>
      <c r="B311" s="3" t="n">
        <v>83.09</v>
      </c>
      <c r="C311" s="4">
        <f>B311/B$2*100</f>
        <v/>
      </c>
      <c r="D311" s="5">
        <f>AVERAGE(B282:B311)</f>
        <v/>
      </c>
      <c r="E311" s="5">
        <f>SLOPE(B$2:B$731,$A$2:$A$731)*$A311+INTERCEPT(B$2:B$731,$A$2:$A$731)</f>
        <v/>
      </c>
      <c r="F311" s="3" t="n">
        <v>0.79</v>
      </c>
      <c r="G311" s="4">
        <f>F311/F$2*100</f>
        <v/>
      </c>
      <c r="H311" s="5">
        <f>AVERAGE(F282:F311)</f>
        <v/>
      </c>
      <c r="I311" s="5">
        <f>SLOPE(F$2:F$731,$A$2:$A$731)*$A311+INTERCEPT(F$2:F$731,$A$2:$A$731)</f>
        <v/>
      </c>
      <c r="J311" s="6" t="inlineStr"/>
    </row>
    <row r="312">
      <c r="A312" s="2" t="n">
        <v>45602</v>
      </c>
      <c r="B312" s="3" t="n">
        <v>83.09999999999999</v>
      </c>
      <c r="C312" s="4">
        <f>B312/B$2*100</f>
        <v/>
      </c>
      <c r="D312" s="5">
        <f>AVERAGE(B283:B312)</f>
        <v/>
      </c>
      <c r="E312" s="5">
        <f>SLOPE(B$2:B$731,$A$2:$A$731)*$A312+INTERCEPT(B$2:B$731,$A$2:$A$731)</f>
        <v/>
      </c>
      <c r="F312" s="3" t="n">
        <v>0.79</v>
      </c>
      <c r="G312" s="4">
        <f>F312/F$2*100</f>
        <v/>
      </c>
      <c r="H312" s="5">
        <f>AVERAGE(F283:F312)</f>
        <v/>
      </c>
      <c r="I312" s="5">
        <f>SLOPE(F$2:F$731,$A$2:$A$731)*$A312+INTERCEPT(F$2:F$731,$A$2:$A$731)</f>
        <v/>
      </c>
      <c r="J312" s="6" t="inlineStr"/>
    </row>
    <row r="313">
      <c r="A313" s="2" t="n">
        <v>45603</v>
      </c>
      <c r="B313" s="3" t="n">
        <v>83.11</v>
      </c>
      <c r="C313" s="4">
        <f>B313/B$2*100</f>
        <v/>
      </c>
      <c r="D313" s="5">
        <f>AVERAGE(B284:B313)</f>
        <v/>
      </c>
      <c r="E313" s="5">
        <f>SLOPE(B$2:B$731,$A$2:$A$731)*$A313+INTERCEPT(B$2:B$731,$A$2:$A$731)</f>
        <v/>
      </c>
      <c r="F313" s="3" t="n">
        <v>0.79</v>
      </c>
      <c r="G313" s="4">
        <f>F313/F$2*100</f>
        <v/>
      </c>
      <c r="H313" s="5">
        <f>AVERAGE(F284:F313)</f>
        <v/>
      </c>
      <c r="I313" s="5">
        <f>SLOPE(F$2:F$731,$A$2:$A$731)*$A313+INTERCEPT(F$2:F$731,$A$2:$A$731)</f>
        <v/>
      </c>
      <c r="J313" s="6" t="inlineStr"/>
    </row>
    <row r="314">
      <c r="A314" s="2" t="n">
        <v>45604</v>
      </c>
      <c r="B314" s="3" t="n">
        <v>83.12</v>
      </c>
      <c r="C314" s="4">
        <f>B314/B$2*100</f>
        <v/>
      </c>
      <c r="D314" s="5">
        <f>AVERAGE(B285:B314)</f>
        <v/>
      </c>
      <c r="E314" s="5">
        <f>SLOPE(B$2:B$731,$A$2:$A$731)*$A314+INTERCEPT(B$2:B$731,$A$2:$A$731)</f>
        <v/>
      </c>
      <c r="F314" s="3" t="n">
        <v>0.79</v>
      </c>
      <c r="G314" s="4">
        <f>F314/F$2*100</f>
        <v/>
      </c>
      <c r="H314" s="5">
        <f>AVERAGE(F285:F314)</f>
        <v/>
      </c>
      <c r="I314" s="5">
        <f>SLOPE(F$2:F$731,$A$2:$A$731)*$A314+INTERCEPT(F$2:F$731,$A$2:$A$731)</f>
        <v/>
      </c>
      <c r="J314" s="6" t="inlineStr"/>
    </row>
    <row r="315">
      <c r="A315" s="2" t="n">
        <v>45605</v>
      </c>
      <c r="B315" s="3" t="n">
        <v>83.13</v>
      </c>
      <c r="C315" s="4">
        <f>B315/B$2*100</f>
        <v/>
      </c>
      <c r="D315" s="5">
        <f>AVERAGE(B286:B315)</f>
        <v/>
      </c>
      <c r="E315" s="5">
        <f>SLOPE(B$2:B$731,$A$2:$A$731)*$A315+INTERCEPT(B$2:B$731,$A$2:$A$731)</f>
        <v/>
      </c>
      <c r="F315" s="3" t="n">
        <v>0.79</v>
      </c>
      <c r="G315" s="4">
        <f>F315/F$2*100</f>
        <v/>
      </c>
      <c r="H315" s="5">
        <f>AVERAGE(F286:F315)</f>
        <v/>
      </c>
      <c r="I315" s="5">
        <f>SLOPE(F$2:F$731,$A$2:$A$731)*$A315+INTERCEPT(F$2:F$731,$A$2:$A$731)</f>
        <v/>
      </c>
      <c r="J315" s="6" t="inlineStr">
        <is>
          <t>yes</t>
        </is>
      </c>
    </row>
    <row r="316">
      <c r="A316" s="2" t="n">
        <v>45606</v>
      </c>
      <c r="B316" s="3" t="n">
        <v>83.14</v>
      </c>
      <c r="C316" s="4">
        <f>B316/B$2*100</f>
        <v/>
      </c>
      <c r="D316" s="5">
        <f>AVERAGE(B287:B316)</f>
        <v/>
      </c>
      <c r="E316" s="5">
        <f>SLOPE(B$2:B$731,$A$2:$A$731)*$A316+INTERCEPT(B$2:B$731,$A$2:$A$731)</f>
        <v/>
      </c>
      <c r="F316" s="3" t="n">
        <v>0.79</v>
      </c>
      <c r="G316" s="4">
        <f>F316/F$2*100</f>
        <v/>
      </c>
      <c r="H316" s="5">
        <f>AVERAGE(F287:F316)</f>
        <v/>
      </c>
      <c r="I316" s="5">
        <f>SLOPE(F$2:F$731,$A$2:$A$731)*$A316+INTERCEPT(F$2:F$731,$A$2:$A$731)</f>
        <v/>
      </c>
      <c r="J316" s="6" t="inlineStr">
        <is>
          <t>yes</t>
        </is>
      </c>
    </row>
    <row r="317">
      <c r="A317" s="2" t="n">
        <v>45607</v>
      </c>
      <c r="B317" s="3" t="n">
        <v>83.15000000000001</v>
      </c>
      <c r="C317" s="4">
        <f>B317/B$2*100</f>
        <v/>
      </c>
      <c r="D317" s="5">
        <f>AVERAGE(B288:B317)</f>
        <v/>
      </c>
      <c r="E317" s="5">
        <f>SLOPE(B$2:B$731,$A$2:$A$731)*$A317+INTERCEPT(B$2:B$731,$A$2:$A$731)</f>
        <v/>
      </c>
      <c r="F317" s="3" t="n">
        <v>0.79</v>
      </c>
      <c r="G317" s="4">
        <f>F317/F$2*100</f>
        <v/>
      </c>
      <c r="H317" s="5">
        <f>AVERAGE(F288:F317)</f>
        <v/>
      </c>
      <c r="I317" s="5">
        <f>SLOPE(F$2:F$731,$A$2:$A$731)*$A317+INTERCEPT(F$2:F$731,$A$2:$A$731)</f>
        <v/>
      </c>
      <c r="J317" s="6" t="inlineStr"/>
    </row>
    <row r="318">
      <c r="A318" s="2" t="n">
        <v>45608</v>
      </c>
      <c r="B318" s="3" t="n">
        <v>83.16</v>
      </c>
      <c r="C318" s="4">
        <f>B318/B$2*100</f>
        <v/>
      </c>
      <c r="D318" s="5">
        <f>AVERAGE(B289:B318)</f>
        <v/>
      </c>
      <c r="E318" s="5">
        <f>SLOPE(B$2:B$731,$A$2:$A$731)*$A318+INTERCEPT(B$2:B$731,$A$2:$A$731)</f>
        <v/>
      </c>
      <c r="F318" s="3" t="n">
        <v>0.79</v>
      </c>
      <c r="G318" s="4">
        <f>F318/F$2*100</f>
        <v/>
      </c>
      <c r="H318" s="5">
        <f>AVERAGE(F289:F318)</f>
        <v/>
      </c>
      <c r="I318" s="5">
        <f>SLOPE(F$2:F$731,$A$2:$A$731)*$A318+INTERCEPT(F$2:F$731,$A$2:$A$731)</f>
        <v/>
      </c>
      <c r="J318" s="6" t="inlineStr"/>
    </row>
    <row r="319">
      <c r="A319" s="2" t="n">
        <v>45609</v>
      </c>
      <c r="B319" s="3" t="n">
        <v>83.17</v>
      </c>
      <c r="C319" s="4">
        <f>B319/B$2*100</f>
        <v/>
      </c>
      <c r="D319" s="5">
        <f>AVERAGE(B290:B319)</f>
        <v/>
      </c>
      <c r="E319" s="5">
        <f>SLOPE(B$2:B$731,$A$2:$A$731)*$A319+INTERCEPT(B$2:B$731,$A$2:$A$731)</f>
        <v/>
      </c>
      <c r="F319" s="3" t="n">
        <v>0.79</v>
      </c>
      <c r="G319" s="4">
        <f>F319/F$2*100</f>
        <v/>
      </c>
      <c r="H319" s="5">
        <f>AVERAGE(F290:F319)</f>
        <v/>
      </c>
      <c r="I319" s="5">
        <f>SLOPE(F$2:F$731,$A$2:$A$731)*$A319+INTERCEPT(F$2:F$731,$A$2:$A$731)</f>
        <v/>
      </c>
      <c r="J319" s="6" t="inlineStr"/>
    </row>
    <row r="320">
      <c r="A320" s="2" t="n">
        <v>45610</v>
      </c>
      <c r="B320" s="3" t="n">
        <v>83.18000000000001</v>
      </c>
      <c r="C320" s="4">
        <f>B320/B$2*100</f>
        <v/>
      </c>
      <c r="D320" s="5">
        <f>AVERAGE(B291:B320)</f>
        <v/>
      </c>
      <c r="E320" s="5">
        <f>SLOPE(B$2:B$731,$A$2:$A$731)*$A320+INTERCEPT(B$2:B$731,$A$2:$A$731)</f>
        <v/>
      </c>
      <c r="F320" s="3" t="n">
        <v>0.79</v>
      </c>
      <c r="G320" s="4">
        <f>F320/F$2*100</f>
        <v/>
      </c>
      <c r="H320" s="5">
        <f>AVERAGE(F291:F320)</f>
        <v/>
      </c>
      <c r="I320" s="5">
        <f>SLOPE(F$2:F$731,$A$2:$A$731)*$A320+INTERCEPT(F$2:F$731,$A$2:$A$731)</f>
        <v/>
      </c>
      <c r="J320" s="6" t="inlineStr"/>
    </row>
    <row r="321">
      <c r="A321" s="2" t="n">
        <v>45611</v>
      </c>
      <c r="B321" s="3" t="n">
        <v>83.19</v>
      </c>
      <c r="C321" s="4">
        <f>B321/B$2*100</f>
        <v/>
      </c>
      <c r="D321" s="5">
        <f>AVERAGE(B292:B321)</f>
        <v/>
      </c>
      <c r="E321" s="5">
        <f>SLOPE(B$2:B$731,$A$2:$A$731)*$A321+INTERCEPT(B$2:B$731,$A$2:$A$731)</f>
        <v/>
      </c>
      <c r="F321" s="3" t="n">
        <v>0.79</v>
      </c>
      <c r="G321" s="4">
        <f>F321/F$2*100</f>
        <v/>
      </c>
      <c r="H321" s="5">
        <f>AVERAGE(F292:F321)</f>
        <v/>
      </c>
      <c r="I321" s="5">
        <f>SLOPE(F$2:F$731,$A$2:$A$731)*$A321+INTERCEPT(F$2:F$731,$A$2:$A$731)</f>
        <v/>
      </c>
      <c r="J321" s="6" t="inlineStr"/>
    </row>
    <row r="322">
      <c r="A322" s="2" t="n">
        <v>45612</v>
      </c>
      <c r="B322" s="3" t="n">
        <v>83.2</v>
      </c>
      <c r="C322" s="4">
        <f>B322/B$2*100</f>
        <v/>
      </c>
      <c r="D322" s="5">
        <f>AVERAGE(B293:B322)</f>
        <v/>
      </c>
      <c r="E322" s="5">
        <f>SLOPE(B$2:B$731,$A$2:$A$731)*$A322+INTERCEPT(B$2:B$731,$A$2:$A$731)</f>
        <v/>
      </c>
      <c r="F322" s="3" t="n">
        <v>0.79</v>
      </c>
      <c r="G322" s="4">
        <f>F322/F$2*100</f>
        <v/>
      </c>
      <c r="H322" s="5">
        <f>AVERAGE(F293:F322)</f>
        <v/>
      </c>
      <c r="I322" s="5">
        <f>SLOPE(F$2:F$731,$A$2:$A$731)*$A322+INTERCEPT(F$2:F$731,$A$2:$A$731)</f>
        <v/>
      </c>
      <c r="J322" s="6" t="inlineStr">
        <is>
          <t>yes</t>
        </is>
      </c>
    </row>
    <row r="323">
      <c r="A323" s="2" t="n">
        <v>45613</v>
      </c>
      <c r="B323" s="3" t="n">
        <v>83.20999999999999</v>
      </c>
      <c r="C323" s="4">
        <f>B323/B$2*100</f>
        <v/>
      </c>
      <c r="D323" s="5">
        <f>AVERAGE(B294:B323)</f>
        <v/>
      </c>
      <c r="E323" s="5">
        <f>SLOPE(B$2:B$731,$A$2:$A$731)*$A323+INTERCEPT(B$2:B$731,$A$2:$A$731)</f>
        <v/>
      </c>
      <c r="F323" s="3" t="n">
        <v>0.79</v>
      </c>
      <c r="G323" s="4">
        <f>F323/F$2*100</f>
        <v/>
      </c>
      <c r="H323" s="5">
        <f>AVERAGE(F294:F323)</f>
        <v/>
      </c>
      <c r="I323" s="5">
        <f>SLOPE(F$2:F$731,$A$2:$A$731)*$A323+INTERCEPT(F$2:F$731,$A$2:$A$731)</f>
        <v/>
      </c>
      <c r="J323" s="6" t="inlineStr">
        <is>
          <t>yes</t>
        </is>
      </c>
    </row>
    <row r="324">
      <c r="A324" s="2" t="n">
        <v>45614</v>
      </c>
      <c r="B324" s="3" t="n">
        <v>83.22</v>
      </c>
      <c r="C324" s="4">
        <f>B324/B$2*100</f>
        <v/>
      </c>
      <c r="D324" s="5">
        <f>AVERAGE(B295:B324)</f>
        <v/>
      </c>
      <c r="E324" s="5">
        <f>SLOPE(B$2:B$731,$A$2:$A$731)*$A324+INTERCEPT(B$2:B$731,$A$2:$A$731)</f>
        <v/>
      </c>
      <c r="F324" s="3" t="n">
        <v>0.79</v>
      </c>
      <c r="G324" s="4">
        <f>F324/F$2*100</f>
        <v/>
      </c>
      <c r="H324" s="5">
        <f>AVERAGE(F295:F324)</f>
        <v/>
      </c>
      <c r="I324" s="5">
        <f>SLOPE(F$2:F$731,$A$2:$A$731)*$A324+INTERCEPT(F$2:F$731,$A$2:$A$731)</f>
        <v/>
      </c>
      <c r="J324" s="6" t="inlineStr"/>
    </row>
    <row r="325">
      <c r="A325" s="2" t="n">
        <v>45615</v>
      </c>
      <c r="B325" s="3" t="n">
        <v>83.23</v>
      </c>
      <c r="C325" s="4">
        <f>B325/B$2*100</f>
        <v/>
      </c>
      <c r="D325" s="5">
        <f>AVERAGE(B296:B325)</f>
        <v/>
      </c>
      <c r="E325" s="5">
        <f>SLOPE(B$2:B$731,$A$2:$A$731)*$A325+INTERCEPT(B$2:B$731,$A$2:$A$731)</f>
        <v/>
      </c>
      <c r="F325" s="3" t="n">
        <v>0.79</v>
      </c>
      <c r="G325" s="4">
        <f>F325/F$2*100</f>
        <v/>
      </c>
      <c r="H325" s="5">
        <f>AVERAGE(F296:F325)</f>
        <v/>
      </c>
      <c r="I325" s="5">
        <f>SLOPE(F$2:F$731,$A$2:$A$731)*$A325+INTERCEPT(F$2:F$731,$A$2:$A$731)</f>
        <v/>
      </c>
      <c r="J325" s="6" t="inlineStr"/>
    </row>
    <row r="326">
      <c r="A326" s="2" t="n">
        <v>45616</v>
      </c>
      <c r="B326" s="3" t="n">
        <v>83.23999999999999</v>
      </c>
      <c r="C326" s="4">
        <f>B326/B$2*100</f>
        <v/>
      </c>
      <c r="D326" s="5">
        <f>AVERAGE(B297:B326)</f>
        <v/>
      </c>
      <c r="E326" s="5">
        <f>SLOPE(B$2:B$731,$A$2:$A$731)*$A326+INTERCEPT(B$2:B$731,$A$2:$A$731)</f>
        <v/>
      </c>
      <c r="F326" s="3" t="n">
        <v>0.79</v>
      </c>
      <c r="G326" s="4">
        <f>F326/F$2*100</f>
        <v/>
      </c>
      <c r="H326" s="5">
        <f>AVERAGE(F297:F326)</f>
        <v/>
      </c>
      <c r="I326" s="5">
        <f>SLOPE(F$2:F$731,$A$2:$A$731)*$A326+INTERCEPT(F$2:F$731,$A$2:$A$731)</f>
        <v/>
      </c>
      <c r="J326" s="6" t="inlineStr"/>
    </row>
    <row r="327">
      <c r="A327" s="2" t="n">
        <v>45617</v>
      </c>
      <c r="B327" s="3" t="n">
        <v>83.25</v>
      </c>
      <c r="C327" s="4">
        <f>B327/B$2*100</f>
        <v/>
      </c>
      <c r="D327" s="5">
        <f>AVERAGE(B298:B327)</f>
        <v/>
      </c>
      <c r="E327" s="5">
        <f>SLOPE(B$2:B$731,$A$2:$A$731)*$A327+INTERCEPT(B$2:B$731,$A$2:$A$731)</f>
        <v/>
      </c>
      <c r="F327" s="3" t="n">
        <v>0.79</v>
      </c>
      <c r="G327" s="4">
        <f>F327/F$2*100</f>
        <v/>
      </c>
      <c r="H327" s="5">
        <f>AVERAGE(F298:F327)</f>
        <v/>
      </c>
      <c r="I327" s="5">
        <f>SLOPE(F$2:F$731,$A$2:$A$731)*$A327+INTERCEPT(F$2:F$731,$A$2:$A$731)</f>
        <v/>
      </c>
      <c r="J327" s="6" t="inlineStr"/>
    </row>
    <row r="328">
      <c r="A328" s="2" t="n">
        <v>45618</v>
      </c>
      <c r="B328" s="3" t="n">
        <v>83.26000000000001</v>
      </c>
      <c r="C328" s="4">
        <f>B328/B$2*100</f>
        <v/>
      </c>
      <c r="D328" s="5">
        <f>AVERAGE(B299:B328)</f>
        <v/>
      </c>
      <c r="E328" s="5">
        <f>SLOPE(B$2:B$731,$A$2:$A$731)*$A328+INTERCEPT(B$2:B$731,$A$2:$A$731)</f>
        <v/>
      </c>
      <c r="F328" s="3" t="n">
        <v>0.79</v>
      </c>
      <c r="G328" s="4">
        <f>F328/F$2*100</f>
        <v/>
      </c>
      <c r="H328" s="5">
        <f>AVERAGE(F299:F328)</f>
        <v/>
      </c>
      <c r="I328" s="5">
        <f>SLOPE(F$2:F$731,$A$2:$A$731)*$A328+INTERCEPT(F$2:F$731,$A$2:$A$731)</f>
        <v/>
      </c>
      <c r="J328" s="6" t="inlineStr"/>
    </row>
    <row r="329">
      <c r="A329" s="2" t="n">
        <v>45619</v>
      </c>
      <c r="B329" s="3" t="n">
        <v>83.27</v>
      </c>
      <c r="C329" s="4">
        <f>B329/B$2*100</f>
        <v/>
      </c>
      <c r="D329" s="5">
        <f>AVERAGE(B300:B329)</f>
        <v/>
      </c>
      <c r="E329" s="5">
        <f>SLOPE(B$2:B$731,$A$2:$A$731)*$A329+INTERCEPT(B$2:B$731,$A$2:$A$731)</f>
        <v/>
      </c>
      <c r="F329" s="3" t="n">
        <v>0.79</v>
      </c>
      <c r="G329" s="4">
        <f>F329/F$2*100</f>
        <v/>
      </c>
      <c r="H329" s="5">
        <f>AVERAGE(F300:F329)</f>
        <v/>
      </c>
      <c r="I329" s="5">
        <f>SLOPE(F$2:F$731,$A$2:$A$731)*$A329+INTERCEPT(F$2:F$731,$A$2:$A$731)</f>
        <v/>
      </c>
      <c r="J329" s="6" t="inlineStr">
        <is>
          <t>yes</t>
        </is>
      </c>
    </row>
    <row r="330">
      <c r="A330" s="2" t="n">
        <v>45620</v>
      </c>
      <c r="B330" s="3" t="n">
        <v>83.28</v>
      </c>
      <c r="C330" s="4">
        <f>B330/B$2*100</f>
        <v/>
      </c>
      <c r="D330" s="5">
        <f>AVERAGE(B301:B330)</f>
        <v/>
      </c>
      <c r="E330" s="5">
        <f>SLOPE(B$2:B$731,$A$2:$A$731)*$A330+INTERCEPT(B$2:B$731,$A$2:$A$731)</f>
        <v/>
      </c>
      <c r="F330" s="3" t="n">
        <v>0.79</v>
      </c>
      <c r="G330" s="4">
        <f>F330/F$2*100</f>
        <v/>
      </c>
      <c r="H330" s="5">
        <f>AVERAGE(F301:F330)</f>
        <v/>
      </c>
      <c r="I330" s="5">
        <f>SLOPE(F$2:F$731,$A$2:$A$731)*$A330+INTERCEPT(F$2:F$731,$A$2:$A$731)</f>
        <v/>
      </c>
      <c r="J330" s="6" t="inlineStr">
        <is>
          <t>yes</t>
        </is>
      </c>
    </row>
    <row r="331">
      <c r="A331" s="2" t="n">
        <v>45621</v>
      </c>
      <c r="B331" s="3" t="n">
        <v>83.29000000000001</v>
      </c>
      <c r="C331" s="4">
        <f>B331/B$2*100</f>
        <v/>
      </c>
      <c r="D331" s="5">
        <f>AVERAGE(B302:B331)</f>
        <v/>
      </c>
      <c r="E331" s="5">
        <f>SLOPE(B$2:B$731,$A$2:$A$731)*$A331+INTERCEPT(B$2:B$731,$A$2:$A$731)</f>
        <v/>
      </c>
      <c r="F331" s="3" t="n">
        <v>0.79</v>
      </c>
      <c r="G331" s="4">
        <f>F331/F$2*100</f>
        <v/>
      </c>
      <c r="H331" s="5">
        <f>AVERAGE(F302:F331)</f>
        <v/>
      </c>
      <c r="I331" s="5">
        <f>SLOPE(F$2:F$731,$A$2:$A$731)*$A331+INTERCEPT(F$2:F$731,$A$2:$A$731)</f>
        <v/>
      </c>
      <c r="J331" s="6" t="inlineStr"/>
    </row>
    <row r="332">
      <c r="A332" s="2" t="n">
        <v>45622</v>
      </c>
      <c r="B332" s="3" t="n">
        <v>83.3</v>
      </c>
      <c r="C332" s="4">
        <f>B332/B$2*100</f>
        <v/>
      </c>
      <c r="D332" s="5">
        <f>AVERAGE(B303:B332)</f>
        <v/>
      </c>
      <c r="E332" s="5">
        <f>SLOPE(B$2:B$731,$A$2:$A$731)*$A332+INTERCEPT(B$2:B$731,$A$2:$A$731)</f>
        <v/>
      </c>
      <c r="F332" s="3" t="n">
        <v>0.79</v>
      </c>
      <c r="G332" s="4">
        <f>F332/F$2*100</f>
        <v/>
      </c>
      <c r="H332" s="5">
        <f>AVERAGE(F303:F332)</f>
        <v/>
      </c>
      <c r="I332" s="5">
        <f>SLOPE(F$2:F$731,$A$2:$A$731)*$A332+INTERCEPT(F$2:F$731,$A$2:$A$731)</f>
        <v/>
      </c>
      <c r="J332" s="6" t="inlineStr"/>
    </row>
    <row r="333">
      <c r="A333" s="2" t="n">
        <v>45623</v>
      </c>
      <c r="B333" s="3" t="n">
        <v>83.31</v>
      </c>
      <c r="C333" s="4">
        <f>B333/B$2*100</f>
        <v/>
      </c>
      <c r="D333" s="5">
        <f>AVERAGE(B304:B333)</f>
        <v/>
      </c>
      <c r="E333" s="5">
        <f>SLOPE(B$2:B$731,$A$2:$A$731)*$A333+INTERCEPT(B$2:B$731,$A$2:$A$731)</f>
        <v/>
      </c>
      <c r="F333" s="3" t="n">
        <v>0.79</v>
      </c>
      <c r="G333" s="4">
        <f>F333/F$2*100</f>
        <v/>
      </c>
      <c r="H333" s="5">
        <f>AVERAGE(F304:F333)</f>
        <v/>
      </c>
      <c r="I333" s="5">
        <f>SLOPE(F$2:F$731,$A$2:$A$731)*$A333+INTERCEPT(F$2:F$731,$A$2:$A$731)</f>
        <v/>
      </c>
      <c r="J333" s="6" t="inlineStr"/>
    </row>
    <row r="334">
      <c r="A334" s="2" t="n">
        <v>45624</v>
      </c>
      <c r="B334" s="3" t="n">
        <v>83.31999999999999</v>
      </c>
      <c r="C334" s="4">
        <f>B334/B$2*100</f>
        <v/>
      </c>
      <c r="D334" s="5">
        <f>AVERAGE(B305:B334)</f>
        <v/>
      </c>
      <c r="E334" s="5">
        <f>SLOPE(B$2:B$731,$A$2:$A$731)*$A334+INTERCEPT(B$2:B$731,$A$2:$A$731)</f>
        <v/>
      </c>
      <c r="F334" s="3" t="n">
        <v>0.79</v>
      </c>
      <c r="G334" s="4">
        <f>F334/F$2*100</f>
        <v/>
      </c>
      <c r="H334" s="5">
        <f>AVERAGE(F305:F334)</f>
        <v/>
      </c>
      <c r="I334" s="5">
        <f>SLOPE(F$2:F$731,$A$2:$A$731)*$A334+INTERCEPT(F$2:F$731,$A$2:$A$731)</f>
        <v/>
      </c>
      <c r="J334" s="6" t="inlineStr"/>
    </row>
    <row r="335">
      <c r="A335" s="2" t="n">
        <v>45625</v>
      </c>
      <c r="B335" s="3" t="n">
        <v>83.33</v>
      </c>
      <c r="C335" s="4">
        <f>B335/B$2*100</f>
        <v/>
      </c>
      <c r="D335" s="5">
        <f>AVERAGE(B306:B335)</f>
        <v/>
      </c>
      <c r="E335" s="5">
        <f>SLOPE(B$2:B$731,$A$2:$A$731)*$A335+INTERCEPT(B$2:B$731,$A$2:$A$731)</f>
        <v/>
      </c>
      <c r="F335" s="3" t="n">
        <v>0.79</v>
      </c>
      <c r="G335" s="4">
        <f>F335/F$2*100</f>
        <v/>
      </c>
      <c r="H335" s="5">
        <f>AVERAGE(F306:F335)</f>
        <v/>
      </c>
      <c r="I335" s="5">
        <f>SLOPE(F$2:F$731,$A$2:$A$731)*$A335+INTERCEPT(F$2:F$731,$A$2:$A$731)</f>
        <v/>
      </c>
      <c r="J335" s="6" t="inlineStr"/>
    </row>
    <row r="336">
      <c r="A336" s="2" t="n">
        <v>45626</v>
      </c>
      <c r="B336" s="3" t="n">
        <v>83.34</v>
      </c>
      <c r="C336" s="4">
        <f>B336/B$2*100</f>
        <v/>
      </c>
      <c r="D336" s="5">
        <f>AVERAGE(B307:B336)</f>
        <v/>
      </c>
      <c r="E336" s="5">
        <f>SLOPE(B$2:B$731,$A$2:$A$731)*$A336+INTERCEPT(B$2:B$731,$A$2:$A$731)</f>
        <v/>
      </c>
      <c r="F336" s="3" t="n">
        <v>0.79</v>
      </c>
      <c r="G336" s="4">
        <f>F336/F$2*100</f>
        <v/>
      </c>
      <c r="H336" s="5">
        <f>AVERAGE(F307:F336)</f>
        <v/>
      </c>
      <c r="I336" s="5">
        <f>SLOPE(F$2:F$731,$A$2:$A$731)*$A336+INTERCEPT(F$2:F$731,$A$2:$A$731)</f>
        <v/>
      </c>
      <c r="J336" s="6" t="inlineStr">
        <is>
          <t>yes</t>
        </is>
      </c>
    </row>
    <row r="337">
      <c r="A337" s="2" t="n">
        <v>45627</v>
      </c>
      <c r="B337" s="3" t="n">
        <v>83.34999999999999</v>
      </c>
      <c r="C337" s="4">
        <f>B337/B$2*100</f>
        <v/>
      </c>
      <c r="D337" s="5">
        <f>AVERAGE(B308:B337)</f>
        <v/>
      </c>
      <c r="E337" s="5">
        <f>SLOPE(B$2:B$731,$A$2:$A$731)*$A337+INTERCEPT(B$2:B$731,$A$2:$A$731)</f>
        <v/>
      </c>
      <c r="F337" s="3" t="n">
        <v>0.79</v>
      </c>
      <c r="G337" s="4">
        <f>F337/F$2*100</f>
        <v/>
      </c>
      <c r="H337" s="5">
        <f>AVERAGE(F308:F337)</f>
        <v/>
      </c>
      <c r="I337" s="5">
        <f>SLOPE(F$2:F$731,$A$2:$A$731)*$A337+INTERCEPT(F$2:F$731,$A$2:$A$731)</f>
        <v/>
      </c>
      <c r="J337" s="6" t="inlineStr">
        <is>
          <t>yes</t>
        </is>
      </c>
    </row>
    <row r="338">
      <c r="A338" s="2" t="n">
        <v>45628</v>
      </c>
      <c r="B338" s="3" t="n">
        <v>83.36</v>
      </c>
      <c r="C338" s="4">
        <f>B338/B$2*100</f>
        <v/>
      </c>
      <c r="D338" s="5">
        <f>AVERAGE(B309:B338)</f>
        <v/>
      </c>
      <c r="E338" s="5">
        <f>SLOPE(B$2:B$731,$A$2:$A$731)*$A338+INTERCEPT(B$2:B$731,$A$2:$A$731)</f>
        <v/>
      </c>
      <c r="F338" s="3" t="n">
        <v>0.79</v>
      </c>
      <c r="G338" s="4">
        <f>F338/F$2*100</f>
        <v/>
      </c>
      <c r="H338" s="5">
        <f>AVERAGE(F309:F338)</f>
        <v/>
      </c>
      <c r="I338" s="5">
        <f>SLOPE(F$2:F$731,$A$2:$A$731)*$A338+INTERCEPT(F$2:F$731,$A$2:$A$731)</f>
        <v/>
      </c>
      <c r="J338" s="6" t="inlineStr"/>
    </row>
    <row r="339">
      <c r="A339" s="2" t="n">
        <v>45629</v>
      </c>
      <c r="B339" s="3" t="n">
        <v>83.37</v>
      </c>
      <c r="C339" s="4">
        <f>B339/B$2*100</f>
        <v/>
      </c>
      <c r="D339" s="5">
        <f>AVERAGE(B310:B339)</f>
        <v/>
      </c>
      <c r="E339" s="5">
        <f>SLOPE(B$2:B$731,$A$2:$A$731)*$A339+INTERCEPT(B$2:B$731,$A$2:$A$731)</f>
        <v/>
      </c>
      <c r="F339" s="3" t="n">
        <v>0.79</v>
      </c>
      <c r="G339" s="4">
        <f>F339/F$2*100</f>
        <v/>
      </c>
      <c r="H339" s="5">
        <f>AVERAGE(F310:F339)</f>
        <v/>
      </c>
      <c r="I339" s="5">
        <f>SLOPE(F$2:F$731,$A$2:$A$731)*$A339+INTERCEPT(F$2:F$731,$A$2:$A$731)</f>
        <v/>
      </c>
      <c r="J339" s="6" t="inlineStr"/>
    </row>
    <row r="340">
      <c r="A340" s="2" t="n">
        <v>45630</v>
      </c>
      <c r="B340" s="3" t="n">
        <v>83.38</v>
      </c>
      <c r="C340" s="4">
        <f>B340/B$2*100</f>
        <v/>
      </c>
      <c r="D340" s="5">
        <f>AVERAGE(B311:B340)</f>
        <v/>
      </c>
      <c r="E340" s="5">
        <f>SLOPE(B$2:B$731,$A$2:$A$731)*$A340+INTERCEPT(B$2:B$731,$A$2:$A$731)</f>
        <v/>
      </c>
      <c r="F340" s="3" t="n">
        <v>0.79</v>
      </c>
      <c r="G340" s="4">
        <f>F340/F$2*100</f>
        <v/>
      </c>
      <c r="H340" s="5">
        <f>AVERAGE(F311:F340)</f>
        <v/>
      </c>
      <c r="I340" s="5">
        <f>SLOPE(F$2:F$731,$A$2:$A$731)*$A340+INTERCEPT(F$2:F$731,$A$2:$A$731)</f>
        <v/>
      </c>
      <c r="J340" s="6" t="inlineStr"/>
    </row>
    <row r="341">
      <c r="A341" s="2" t="n">
        <v>45631</v>
      </c>
      <c r="B341" s="3" t="n">
        <v>83.39</v>
      </c>
      <c r="C341" s="4">
        <f>B341/B$2*100</f>
        <v/>
      </c>
      <c r="D341" s="5">
        <f>AVERAGE(B312:B341)</f>
        <v/>
      </c>
      <c r="E341" s="5">
        <f>SLOPE(B$2:B$731,$A$2:$A$731)*$A341+INTERCEPT(B$2:B$731,$A$2:$A$731)</f>
        <v/>
      </c>
      <c r="F341" s="3" t="n">
        <v>0.79</v>
      </c>
      <c r="G341" s="4">
        <f>F341/F$2*100</f>
        <v/>
      </c>
      <c r="H341" s="5">
        <f>AVERAGE(F312:F341)</f>
        <v/>
      </c>
      <c r="I341" s="5">
        <f>SLOPE(F$2:F$731,$A$2:$A$731)*$A341+INTERCEPT(F$2:F$731,$A$2:$A$731)</f>
        <v/>
      </c>
      <c r="J341" s="6" t="inlineStr"/>
    </row>
    <row r="342">
      <c r="A342" s="2" t="n">
        <v>45632</v>
      </c>
      <c r="B342" s="3" t="n">
        <v>83.40000000000001</v>
      </c>
      <c r="C342" s="4">
        <f>B342/B$2*100</f>
        <v/>
      </c>
      <c r="D342" s="5">
        <f>AVERAGE(B313:B342)</f>
        <v/>
      </c>
      <c r="E342" s="5">
        <f>SLOPE(B$2:B$731,$A$2:$A$731)*$A342+INTERCEPT(B$2:B$731,$A$2:$A$731)</f>
        <v/>
      </c>
      <c r="F342" s="3" t="n">
        <v>0.79</v>
      </c>
      <c r="G342" s="4">
        <f>F342/F$2*100</f>
        <v/>
      </c>
      <c r="H342" s="5">
        <f>AVERAGE(F313:F342)</f>
        <v/>
      </c>
      <c r="I342" s="5">
        <f>SLOPE(F$2:F$731,$A$2:$A$731)*$A342+INTERCEPT(F$2:F$731,$A$2:$A$731)</f>
        <v/>
      </c>
      <c r="J342" s="6" t="inlineStr"/>
    </row>
    <row r="343">
      <c r="A343" s="2" t="n">
        <v>45633</v>
      </c>
      <c r="B343" s="3" t="n">
        <v>83.41</v>
      </c>
      <c r="C343" s="4">
        <f>B343/B$2*100</f>
        <v/>
      </c>
      <c r="D343" s="5">
        <f>AVERAGE(B314:B343)</f>
        <v/>
      </c>
      <c r="E343" s="5">
        <f>SLOPE(B$2:B$731,$A$2:$A$731)*$A343+INTERCEPT(B$2:B$731,$A$2:$A$731)</f>
        <v/>
      </c>
      <c r="F343" s="3" t="n">
        <v>0.79</v>
      </c>
      <c r="G343" s="4">
        <f>F343/F$2*100</f>
        <v/>
      </c>
      <c r="H343" s="5">
        <f>AVERAGE(F314:F343)</f>
        <v/>
      </c>
      <c r="I343" s="5">
        <f>SLOPE(F$2:F$731,$A$2:$A$731)*$A343+INTERCEPT(F$2:F$731,$A$2:$A$731)</f>
        <v/>
      </c>
      <c r="J343" s="6" t="inlineStr">
        <is>
          <t>yes</t>
        </is>
      </c>
    </row>
    <row r="344">
      <c r="A344" s="2" t="n">
        <v>45634</v>
      </c>
      <c r="B344" s="3" t="n">
        <v>83.42</v>
      </c>
      <c r="C344" s="4">
        <f>B344/B$2*100</f>
        <v/>
      </c>
      <c r="D344" s="5">
        <f>AVERAGE(B315:B344)</f>
        <v/>
      </c>
      <c r="E344" s="5">
        <f>SLOPE(B$2:B$731,$A$2:$A$731)*$A344+INTERCEPT(B$2:B$731,$A$2:$A$731)</f>
        <v/>
      </c>
      <c r="F344" s="3" t="n">
        <v>0.79</v>
      </c>
      <c r="G344" s="4">
        <f>F344/F$2*100</f>
        <v/>
      </c>
      <c r="H344" s="5">
        <f>AVERAGE(F315:F344)</f>
        <v/>
      </c>
      <c r="I344" s="5">
        <f>SLOPE(F$2:F$731,$A$2:$A$731)*$A344+INTERCEPT(F$2:F$731,$A$2:$A$731)</f>
        <v/>
      </c>
      <c r="J344" s="6" t="inlineStr">
        <is>
          <t>yes</t>
        </is>
      </c>
    </row>
    <row r="345">
      <c r="A345" s="2" t="n">
        <v>45635</v>
      </c>
      <c r="B345" s="3" t="n">
        <v>83.43000000000001</v>
      </c>
      <c r="C345" s="4">
        <f>B345/B$2*100</f>
        <v/>
      </c>
      <c r="D345" s="5">
        <f>AVERAGE(B316:B345)</f>
        <v/>
      </c>
      <c r="E345" s="5">
        <f>SLOPE(B$2:B$731,$A$2:$A$731)*$A345+INTERCEPT(B$2:B$731,$A$2:$A$731)</f>
        <v/>
      </c>
      <c r="F345" s="3" t="n">
        <v>0.79</v>
      </c>
      <c r="G345" s="4">
        <f>F345/F$2*100</f>
        <v/>
      </c>
      <c r="H345" s="5">
        <f>AVERAGE(F316:F345)</f>
        <v/>
      </c>
      <c r="I345" s="5">
        <f>SLOPE(F$2:F$731,$A$2:$A$731)*$A345+INTERCEPT(F$2:F$731,$A$2:$A$731)</f>
        <v/>
      </c>
      <c r="J345" s="6" t="inlineStr"/>
    </row>
    <row r="346">
      <c r="A346" s="2" t="n">
        <v>45636</v>
      </c>
      <c r="B346" s="3" t="n">
        <v>83.44</v>
      </c>
      <c r="C346" s="4">
        <f>B346/B$2*100</f>
        <v/>
      </c>
      <c r="D346" s="5">
        <f>AVERAGE(B317:B346)</f>
        <v/>
      </c>
      <c r="E346" s="5">
        <f>SLOPE(B$2:B$731,$A$2:$A$731)*$A346+INTERCEPT(B$2:B$731,$A$2:$A$731)</f>
        <v/>
      </c>
      <c r="F346" s="3" t="n">
        <v>0.79</v>
      </c>
      <c r="G346" s="4">
        <f>F346/F$2*100</f>
        <v/>
      </c>
      <c r="H346" s="5">
        <f>AVERAGE(F317:F346)</f>
        <v/>
      </c>
      <c r="I346" s="5">
        <f>SLOPE(F$2:F$731,$A$2:$A$731)*$A346+INTERCEPT(F$2:F$731,$A$2:$A$731)</f>
        <v/>
      </c>
      <c r="J346" s="6" t="inlineStr"/>
    </row>
    <row r="347">
      <c r="A347" s="2" t="n">
        <v>45637</v>
      </c>
      <c r="B347" s="3" t="n">
        <v>83.45</v>
      </c>
      <c r="C347" s="4">
        <f>B347/B$2*100</f>
        <v/>
      </c>
      <c r="D347" s="5">
        <f>AVERAGE(B318:B347)</f>
        <v/>
      </c>
      <c r="E347" s="5">
        <f>SLOPE(B$2:B$731,$A$2:$A$731)*$A347+INTERCEPT(B$2:B$731,$A$2:$A$731)</f>
        <v/>
      </c>
      <c r="F347" s="3" t="n">
        <v>0.79</v>
      </c>
      <c r="G347" s="4">
        <f>F347/F$2*100</f>
        <v/>
      </c>
      <c r="H347" s="5">
        <f>AVERAGE(F318:F347)</f>
        <v/>
      </c>
      <c r="I347" s="5">
        <f>SLOPE(F$2:F$731,$A$2:$A$731)*$A347+INTERCEPT(F$2:F$731,$A$2:$A$731)</f>
        <v/>
      </c>
      <c r="J347" s="6" t="inlineStr"/>
    </row>
    <row r="348">
      <c r="A348" s="2" t="n">
        <v>45638</v>
      </c>
      <c r="B348" s="3" t="n">
        <v>83.45999999999999</v>
      </c>
      <c r="C348" s="4">
        <f>B348/B$2*100</f>
        <v/>
      </c>
      <c r="D348" s="5">
        <f>AVERAGE(B319:B348)</f>
        <v/>
      </c>
      <c r="E348" s="5">
        <f>SLOPE(B$2:B$731,$A$2:$A$731)*$A348+INTERCEPT(B$2:B$731,$A$2:$A$731)</f>
        <v/>
      </c>
      <c r="F348" s="3" t="n">
        <v>0.79</v>
      </c>
      <c r="G348" s="4">
        <f>F348/F$2*100</f>
        <v/>
      </c>
      <c r="H348" s="5">
        <f>AVERAGE(F319:F348)</f>
        <v/>
      </c>
      <c r="I348" s="5">
        <f>SLOPE(F$2:F$731,$A$2:$A$731)*$A348+INTERCEPT(F$2:F$731,$A$2:$A$731)</f>
        <v/>
      </c>
      <c r="J348" s="6" t="inlineStr"/>
    </row>
    <row r="349">
      <c r="A349" s="2" t="n">
        <v>45639</v>
      </c>
      <c r="B349" s="3" t="n">
        <v>83.47</v>
      </c>
      <c r="C349" s="4">
        <f>B349/B$2*100</f>
        <v/>
      </c>
      <c r="D349" s="5">
        <f>AVERAGE(B320:B349)</f>
        <v/>
      </c>
      <c r="E349" s="5">
        <f>SLOPE(B$2:B$731,$A$2:$A$731)*$A349+INTERCEPT(B$2:B$731,$A$2:$A$731)</f>
        <v/>
      </c>
      <c r="F349" s="3" t="n">
        <v>0.79</v>
      </c>
      <c r="G349" s="4">
        <f>F349/F$2*100</f>
        <v/>
      </c>
      <c r="H349" s="5">
        <f>AVERAGE(F320:F349)</f>
        <v/>
      </c>
      <c r="I349" s="5">
        <f>SLOPE(F$2:F$731,$A$2:$A$731)*$A349+INTERCEPT(F$2:F$731,$A$2:$A$731)</f>
        <v/>
      </c>
      <c r="J349" s="6" t="inlineStr"/>
    </row>
    <row r="350">
      <c r="A350" s="2" t="n">
        <v>45640</v>
      </c>
      <c r="B350" s="3" t="n">
        <v>83.48</v>
      </c>
      <c r="C350" s="4">
        <f>B350/B$2*100</f>
        <v/>
      </c>
      <c r="D350" s="5">
        <f>AVERAGE(B321:B350)</f>
        <v/>
      </c>
      <c r="E350" s="5">
        <f>SLOPE(B$2:B$731,$A$2:$A$731)*$A350+INTERCEPT(B$2:B$731,$A$2:$A$731)</f>
        <v/>
      </c>
      <c r="F350" s="3" t="n">
        <v>0.79</v>
      </c>
      <c r="G350" s="4">
        <f>F350/F$2*100</f>
        <v/>
      </c>
      <c r="H350" s="5">
        <f>AVERAGE(F321:F350)</f>
        <v/>
      </c>
      <c r="I350" s="5">
        <f>SLOPE(F$2:F$731,$A$2:$A$731)*$A350+INTERCEPT(F$2:F$731,$A$2:$A$731)</f>
        <v/>
      </c>
      <c r="J350" s="6" t="inlineStr">
        <is>
          <t>yes</t>
        </is>
      </c>
    </row>
    <row r="351">
      <c r="A351" s="2" t="n">
        <v>45641</v>
      </c>
      <c r="B351" s="3" t="n">
        <v>83.48999999999999</v>
      </c>
      <c r="C351" s="4">
        <f>B351/B$2*100</f>
        <v/>
      </c>
      <c r="D351" s="5">
        <f>AVERAGE(B322:B351)</f>
        <v/>
      </c>
      <c r="E351" s="5">
        <f>SLOPE(B$2:B$731,$A$2:$A$731)*$A351+INTERCEPT(B$2:B$731,$A$2:$A$731)</f>
        <v/>
      </c>
      <c r="F351" s="3" t="n">
        <v>0.79</v>
      </c>
      <c r="G351" s="4">
        <f>F351/F$2*100</f>
        <v/>
      </c>
      <c r="H351" s="5">
        <f>AVERAGE(F322:F351)</f>
        <v/>
      </c>
      <c r="I351" s="5">
        <f>SLOPE(F$2:F$731,$A$2:$A$731)*$A351+INTERCEPT(F$2:F$731,$A$2:$A$731)</f>
        <v/>
      </c>
      <c r="J351" s="6" t="inlineStr">
        <is>
          <t>yes</t>
        </is>
      </c>
    </row>
    <row r="352">
      <c r="A352" s="2" t="n">
        <v>45642</v>
      </c>
      <c r="B352" s="3" t="n">
        <v>83.5</v>
      </c>
      <c r="C352" s="4">
        <f>B352/B$2*100</f>
        <v/>
      </c>
      <c r="D352" s="5">
        <f>AVERAGE(B323:B352)</f>
        <v/>
      </c>
      <c r="E352" s="5">
        <f>SLOPE(B$2:B$731,$A$2:$A$731)*$A352+INTERCEPT(B$2:B$731,$A$2:$A$731)</f>
        <v/>
      </c>
      <c r="F352" s="3" t="n">
        <v>0.79</v>
      </c>
      <c r="G352" s="4">
        <f>F352/F$2*100</f>
        <v/>
      </c>
      <c r="H352" s="5">
        <f>AVERAGE(F323:F352)</f>
        <v/>
      </c>
      <c r="I352" s="5">
        <f>SLOPE(F$2:F$731,$A$2:$A$731)*$A352+INTERCEPT(F$2:F$731,$A$2:$A$731)</f>
        <v/>
      </c>
      <c r="J352" s="6" t="inlineStr"/>
    </row>
    <row r="353">
      <c r="A353" s="2" t="n">
        <v>45643</v>
      </c>
      <c r="B353" s="3" t="n">
        <v>83.51000000000001</v>
      </c>
      <c r="C353" s="4">
        <f>B353/B$2*100</f>
        <v/>
      </c>
      <c r="D353" s="5">
        <f>AVERAGE(B324:B353)</f>
        <v/>
      </c>
      <c r="E353" s="5">
        <f>SLOPE(B$2:B$731,$A$2:$A$731)*$A353+INTERCEPT(B$2:B$731,$A$2:$A$731)</f>
        <v/>
      </c>
      <c r="F353" s="3" t="n">
        <v>0.79</v>
      </c>
      <c r="G353" s="4">
        <f>F353/F$2*100</f>
        <v/>
      </c>
      <c r="H353" s="5">
        <f>AVERAGE(F324:F353)</f>
        <v/>
      </c>
      <c r="I353" s="5">
        <f>SLOPE(F$2:F$731,$A$2:$A$731)*$A353+INTERCEPT(F$2:F$731,$A$2:$A$731)</f>
        <v/>
      </c>
      <c r="J353" s="6" t="inlineStr"/>
    </row>
    <row r="354">
      <c r="A354" s="2" t="n">
        <v>45644</v>
      </c>
      <c r="B354" s="3" t="n">
        <v>83.52</v>
      </c>
      <c r="C354" s="4">
        <f>B354/B$2*100</f>
        <v/>
      </c>
      <c r="D354" s="5">
        <f>AVERAGE(B325:B354)</f>
        <v/>
      </c>
      <c r="E354" s="5">
        <f>SLOPE(B$2:B$731,$A$2:$A$731)*$A354+INTERCEPT(B$2:B$731,$A$2:$A$731)</f>
        <v/>
      </c>
      <c r="F354" s="3" t="n">
        <v>0.79</v>
      </c>
      <c r="G354" s="4">
        <f>F354/F$2*100</f>
        <v/>
      </c>
      <c r="H354" s="5">
        <f>AVERAGE(F325:F354)</f>
        <v/>
      </c>
      <c r="I354" s="5">
        <f>SLOPE(F$2:F$731,$A$2:$A$731)*$A354+INTERCEPT(F$2:F$731,$A$2:$A$731)</f>
        <v/>
      </c>
      <c r="J354" s="6" t="inlineStr"/>
    </row>
    <row r="355">
      <c r="A355" s="2" t="n">
        <v>45645</v>
      </c>
      <c r="B355" s="3" t="n">
        <v>83.53</v>
      </c>
      <c r="C355" s="4">
        <f>B355/B$2*100</f>
        <v/>
      </c>
      <c r="D355" s="5">
        <f>AVERAGE(B326:B355)</f>
        <v/>
      </c>
      <c r="E355" s="5">
        <f>SLOPE(B$2:B$731,$A$2:$A$731)*$A355+INTERCEPT(B$2:B$731,$A$2:$A$731)</f>
        <v/>
      </c>
      <c r="F355" s="3" t="n">
        <v>0.79</v>
      </c>
      <c r="G355" s="4">
        <f>F355/F$2*100</f>
        <v/>
      </c>
      <c r="H355" s="5">
        <f>AVERAGE(F326:F355)</f>
        <v/>
      </c>
      <c r="I355" s="5">
        <f>SLOPE(F$2:F$731,$A$2:$A$731)*$A355+INTERCEPT(F$2:F$731,$A$2:$A$731)</f>
        <v/>
      </c>
      <c r="J355" s="6" t="inlineStr"/>
    </row>
    <row r="356">
      <c r="A356" s="2" t="n">
        <v>45646</v>
      </c>
      <c r="B356" s="3" t="n">
        <v>83.54000000000001</v>
      </c>
      <c r="C356" s="4">
        <f>B356/B$2*100</f>
        <v/>
      </c>
      <c r="D356" s="5">
        <f>AVERAGE(B327:B356)</f>
        <v/>
      </c>
      <c r="E356" s="5">
        <f>SLOPE(B$2:B$731,$A$2:$A$731)*$A356+INTERCEPT(B$2:B$731,$A$2:$A$731)</f>
        <v/>
      </c>
      <c r="F356" s="3" t="n">
        <v>0.79</v>
      </c>
      <c r="G356" s="4">
        <f>F356/F$2*100</f>
        <v/>
      </c>
      <c r="H356" s="5">
        <f>AVERAGE(F327:F356)</f>
        <v/>
      </c>
      <c r="I356" s="5">
        <f>SLOPE(F$2:F$731,$A$2:$A$731)*$A356+INTERCEPT(F$2:F$731,$A$2:$A$731)</f>
        <v/>
      </c>
      <c r="J356" s="6" t="inlineStr"/>
    </row>
    <row r="357">
      <c r="A357" s="2" t="n">
        <v>45647</v>
      </c>
      <c r="B357" s="3" t="n">
        <v>83.55</v>
      </c>
      <c r="C357" s="4">
        <f>B357/B$2*100</f>
        <v/>
      </c>
      <c r="D357" s="5">
        <f>AVERAGE(B328:B357)</f>
        <v/>
      </c>
      <c r="E357" s="5">
        <f>SLOPE(B$2:B$731,$A$2:$A$731)*$A357+INTERCEPT(B$2:B$731,$A$2:$A$731)</f>
        <v/>
      </c>
      <c r="F357" s="3" t="n">
        <v>0.79</v>
      </c>
      <c r="G357" s="4">
        <f>F357/F$2*100</f>
        <v/>
      </c>
      <c r="H357" s="5">
        <f>AVERAGE(F328:F357)</f>
        <v/>
      </c>
      <c r="I357" s="5">
        <f>SLOPE(F$2:F$731,$A$2:$A$731)*$A357+INTERCEPT(F$2:F$731,$A$2:$A$731)</f>
        <v/>
      </c>
      <c r="J357" s="6" t="inlineStr">
        <is>
          <t>yes</t>
        </is>
      </c>
    </row>
    <row r="358">
      <c r="A358" s="2" t="n">
        <v>45648</v>
      </c>
      <c r="B358" s="3" t="n">
        <v>83.56</v>
      </c>
      <c r="C358" s="4">
        <f>B358/B$2*100</f>
        <v/>
      </c>
      <c r="D358" s="5">
        <f>AVERAGE(B329:B358)</f>
        <v/>
      </c>
      <c r="E358" s="5">
        <f>SLOPE(B$2:B$731,$A$2:$A$731)*$A358+INTERCEPT(B$2:B$731,$A$2:$A$731)</f>
        <v/>
      </c>
      <c r="F358" s="3" t="n">
        <v>0.79</v>
      </c>
      <c r="G358" s="4">
        <f>F358/F$2*100</f>
        <v/>
      </c>
      <c r="H358" s="5">
        <f>AVERAGE(F329:F358)</f>
        <v/>
      </c>
      <c r="I358" s="5">
        <f>SLOPE(F$2:F$731,$A$2:$A$731)*$A358+INTERCEPT(F$2:F$731,$A$2:$A$731)</f>
        <v/>
      </c>
      <c r="J358" s="6" t="inlineStr">
        <is>
          <t>yes</t>
        </is>
      </c>
    </row>
    <row r="359">
      <c r="A359" s="2" t="n">
        <v>45649</v>
      </c>
      <c r="B359" s="3" t="n">
        <v>83.56999999999999</v>
      </c>
      <c r="C359" s="4">
        <f>B359/B$2*100</f>
        <v/>
      </c>
      <c r="D359" s="5">
        <f>AVERAGE(B330:B359)</f>
        <v/>
      </c>
      <c r="E359" s="5">
        <f>SLOPE(B$2:B$731,$A$2:$A$731)*$A359+INTERCEPT(B$2:B$731,$A$2:$A$731)</f>
        <v/>
      </c>
      <c r="F359" s="3" t="n">
        <v>0.79</v>
      </c>
      <c r="G359" s="4">
        <f>F359/F$2*100</f>
        <v/>
      </c>
      <c r="H359" s="5">
        <f>AVERAGE(F330:F359)</f>
        <v/>
      </c>
      <c r="I359" s="5">
        <f>SLOPE(F$2:F$731,$A$2:$A$731)*$A359+INTERCEPT(F$2:F$731,$A$2:$A$731)</f>
        <v/>
      </c>
      <c r="J359" s="6" t="inlineStr"/>
    </row>
    <row r="360">
      <c r="A360" s="2" t="n">
        <v>45650</v>
      </c>
      <c r="B360" s="3" t="n">
        <v>83.58</v>
      </c>
      <c r="C360" s="4">
        <f>B360/B$2*100</f>
        <v/>
      </c>
      <c r="D360" s="5">
        <f>AVERAGE(B331:B360)</f>
        <v/>
      </c>
      <c r="E360" s="5">
        <f>SLOPE(B$2:B$731,$A$2:$A$731)*$A360+INTERCEPT(B$2:B$731,$A$2:$A$731)</f>
        <v/>
      </c>
      <c r="F360" s="3" t="n">
        <v>0.79</v>
      </c>
      <c r="G360" s="4">
        <f>F360/F$2*100</f>
        <v/>
      </c>
      <c r="H360" s="5">
        <f>AVERAGE(F331:F360)</f>
        <v/>
      </c>
      <c r="I360" s="5">
        <f>SLOPE(F$2:F$731,$A$2:$A$731)*$A360+INTERCEPT(F$2:F$731,$A$2:$A$731)</f>
        <v/>
      </c>
      <c r="J360" s="6" t="inlineStr"/>
    </row>
    <row r="361">
      <c r="A361" s="2" t="n">
        <v>45651</v>
      </c>
      <c r="B361" s="3" t="n">
        <v>83.59</v>
      </c>
      <c r="C361" s="4">
        <f>B361/B$2*100</f>
        <v/>
      </c>
      <c r="D361" s="5">
        <f>AVERAGE(B332:B361)</f>
        <v/>
      </c>
      <c r="E361" s="5">
        <f>SLOPE(B$2:B$731,$A$2:$A$731)*$A361+INTERCEPT(B$2:B$731,$A$2:$A$731)</f>
        <v/>
      </c>
      <c r="F361" s="3" t="n">
        <v>0.79</v>
      </c>
      <c r="G361" s="4">
        <f>F361/F$2*100</f>
        <v/>
      </c>
      <c r="H361" s="5">
        <f>AVERAGE(F332:F361)</f>
        <v/>
      </c>
      <c r="I361" s="5">
        <f>SLOPE(F$2:F$731,$A$2:$A$731)*$A361+INTERCEPT(F$2:F$731,$A$2:$A$731)</f>
        <v/>
      </c>
      <c r="J361" s="6" t="inlineStr"/>
    </row>
    <row r="362">
      <c r="A362" s="2" t="n">
        <v>45652</v>
      </c>
      <c r="B362" s="3" t="n">
        <v>83.59999999999999</v>
      </c>
      <c r="C362" s="4">
        <f>B362/B$2*100</f>
        <v/>
      </c>
      <c r="D362" s="5">
        <f>AVERAGE(B333:B362)</f>
        <v/>
      </c>
      <c r="E362" s="5">
        <f>SLOPE(B$2:B$731,$A$2:$A$731)*$A362+INTERCEPT(B$2:B$731,$A$2:$A$731)</f>
        <v/>
      </c>
      <c r="F362" s="3" t="n">
        <v>0.79</v>
      </c>
      <c r="G362" s="4">
        <f>F362/F$2*100</f>
        <v/>
      </c>
      <c r="H362" s="5">
        <f>AVERAGE(F333:F362)</f>
        <v/>
      </c>
      <c r="I362" s="5">
        <f>SLOPE(F$2:F$731,$A$2:$A$731)*$A362+INTERCEPT(F$2:F$731,$A$2:$A$731)</f>
        <v/>
      </c>
      <c r="J362" s="6" t="inlineStr"/>
    </row>
    <row r="363">
      <c r="A363" s="2" t="n">
        <v>45653</v>
      </c>
      <c r="B363" s="3" t="n">
        <v>83.61</v>
      </c>
      <c r="C363" s="4">
        <f>B363/B$2*100</f>
        <v/>
      </c>
      <c r="D363" s="5">
        <f>AVERAGE(B334:B363)</f>
        <v/>
      </c>
      <c r="E363" s="5">
        <f>SLOPE(B$2:B$731,$A$2:$A$731)*$A363+INTERCEPT(B$2:B$731,$A$2:$A$731)</f>
        <v/>
      </c>
      <c r="F363" s="3" t="n">
        <v>0.79</v>
      </c>
      <c r="G363" s="4">
        <f>F363/F$2*100</f>
        <v/>
      </c>
      <c r="H363" s="5">
        <f>AVERAGE(F334:F363)</f>
        <v/>
      </c>
      <c r="I363" s="5">
        <f>SLOPE(F$2:F$731,$A$2:$A$731)*$A363+INTERCEPT(F$2:F$731,$A$2:$A$731)</f>
        <v/>
      </c>
      <c r="J363" s="6" t="inlineStr"/>
    </row>
    <row r="364">
      <c r="A364" s="2" t="n">
        <v>45654</v>
      </c>
      <c r="B364" s="3" t="n">
        <v>83.62</v>
      </c>
      <c r="C364" s="4">
        <f>B364/B$2*100</f>
        <v/>
      </c>
      <c r="D364" s="5">
        <f>AVERAGE(B335:B364)</f>
        <v/>
      </c>
      <c r="E364" s="5">
        <f>SLOPE(B$2:B$731,$A$2:$A$731)*$A364+INTERCEPT(B$2:B$731,$A$2:$A$731)</f>
        <v/>
      </c>
      <c r="F364" s="3" t="n">
        <v>0.79</v>
      </c>
      <c r="G364" s="4">
        <f>F364/F$2*100</f>
        <v/>
      </c>
      <c r="H364" s="5">
        <f>AVERAGE(F335:F364)</f>
        <v/>
      </c>
      <c r="I364" s="5">
        <f>SLOPE(F$2:F$731,$A$2:$A$731)*$A364+INTERCEPT(F$2:F$731,$A$2:$A$731)</f>
        <v/>
      </c>
      <c r="J364" s="6" t="inlineStr">
        <is>
          <t>yes</t>
        </is>
      </c>
    </row>
    <row r="365">
      <c r="A365" s="2" t="n">
        <v>45655</v>
      </c>
      <c r="B365" s="3" t="n">
        <v>83.63</v>
      </c>
      <c r="C365" s="4">
        <f>B365/B$2*100</f>
        <v/>
      </c>
      <c r="D365" s="5">
        <f>AVERAGE(B336:B365)</f>
        <v/>
      </c>
      <c r="E365" s="5">
        <f>SLOPE(B$2:B$731,$A$2:$A$731)*$A365+INTERCEPT(B$2:B$731,$A$2:$A$731)</f>
        <v/>
      </c>
      <c r="F365" s="3" t="n">
        <v>0.79</v>
      </c>
      <c r="G365" s="4">
        <f>F365/F$2*100</f>
        <v/>
      </c>
      <c r="H365" s="5">
        <f>AVERAGE(F336:F365)</f>
        <v/>
      </c>
      <c r="I365" s="5">
        <f>SLOPE(F$2:F$731,$A$2:$A$731)*$A365+INTERCEPT(F$2:F$731,$A$2:$A$731)</f>
        <v/>
      </c>
      <c r="J365" s="6" t="inlineStr">
        <is>
          <t>yes</t>
        </is>
      </c>
    </row>
    <row r="366">
      <c r="A366" s="2" t="n">
        <v>45656</v>
      </c>
      <c r="B366" s="3" t="n">
        <v>83.64</v>
      </c>
      <c r="C366" s="4">
        <f>B366/B$2*100</f>
        <v/>
      </c>
      <c r="D366" s="5">
        <f>AVERAGE(B337:B366)</f>
        <v/>
      </c>
      <c r="E366" s="5">
        <f>SLOPE(B$2:B$731,$A$2:$A$731)*$A366+INTERCEPT(B$2:B$731,$A$2:$A$731)</f>
        <v/>
      </c>
      <c r="F366" s="3" t="n">
        <v>0.79</v>
      </c>
      <c r="G366" s="4">
        <f>F366/F$2*100</f>
        <v/>
      </c>
      <c r="H366" s="5">
        <f>AVERAGE(F337:F366)</f>
        <v/>
      </c>
      <c r="I366" s="5">
        <f>SLOPE(F$2:F$731,$A$2:$A$731)*$A366+INTERCEPT(F$2:F$731,$A$2:$A$731)</f>
        <v/>
      </c>
      <c r="J366" s="6" t="inlineStr"/>
    </row>
    <row r="367">
      <c r="A367" s="2" t="n">
        <v>45657</v>
      </c>
      <c r="B367" s="3" t="n">
        <v>83.65000000000001</v>
      </c>
      <c r="C367" s="4">
        <f>B367/B$2*100</f>
        <v/>
      </c>
      <c r="D367" s="5">
        <f>AVERAGE(B338:B367)</f>
        <v/>
      </c>
      <c r="E367" s="5">
        <f>SLOPE(B$2:B$731,$A$2:$A$731)*$A367+INTERCEPT(B$2:B$731,$A$2:$A$731)</f>
        <v/>
      </c>
      <c r="F367" s="3" t="n">
        <v>0.79</v>
      </c>
      <c r="G367" s="4">
        <f>F367/F$2*100</f>
        <v/>
      </c>
      <c r="H367" s="5">
        <f>AVERAGE(F338:F367)</f>
        <v/>
      </c>
      <c r="I367" s="5">
        <f>SLOPE(F$2:F$731,$A$2:$A$731)*$A367+INTERCEPT(F$2:F$731,$A$2:$A$731)</f>
        <v/>
      </c>
      <c r="J367" s="6" t="inlineStr"/>
    </row>
    <row r="368">
      <c r="A368" s="2" t="n">
        <v>45658</v>
      </c>
      <c r="B368" s="3" t="n">
        <v>83.66</v>
      </c>
      <c r="C368" s="4">
        <f>B368/B$2*100</f>
        <v/>
      </c>
      <c r="D368" s="5">
        <f>AVERAGE(B339:B368)</f>
        <v/>
      </c>
      <c r="E368" s="5">
        <f>SLOPE(B$2:B$731,$A$2:$A$731)*$A368+INTERCEPT(B$2:B$731,$A$2:$A$731)</f>
        <v/>
      </c>
      <c r="F368" s="3" t="n">
        <v>0.79</v>
      </c>
      <c r="G368" s="4">
        <f>F368/F$2*100</f>
        <v/>
      </c>
      <c r="H368" s="5">
        <f>AVERAGE(F339:F368)</f>
        <v/>
      </c>
      <c r="I368" s="5">
        <f>SLOPE(F$2:F$731,$A$2:$A$731)*$A368+INTERCEPT(F$2:F$731,$A$2:$A$731)</f>
        <v/>
      </c>
      <c r="J368" s="6" t="inlineStr"/>
    </row>
    <row r="369">
      <c r="A369" s="2" t="n">
        <v>45659</v>
      </c>
      <c r="B369" s="3" t="n">
        <v>83.67</v>
      </c>
      <c r="C369" s="4">
        <f>B369/B$2*100</f>
        <v/>
      </c>
      <c r="D369" s="5">
        <f>AVERAGE(B340:B369)</f>
        <v/>
      </c>
      <c r="E369" s="5">
        <f>SLOPE(B$2:B$731,$A$2:$A$731)*$A369+INTERCEPT(B$2:B$731,$A$2:$A$731)</f>
        <v/>
      </c>
      <c r="F369" s="3" t="n">
        <v>0.79</v>
      </c>
      <c r="G369" s="4">
        <f>F369/F$2*100</f>
        <v/>
      </c>
      <c r="H369" s="5">
        <f>AVERAGE(F340:F369)</f>
        <v/>
      </c>
      <c r="I369" s="5">
        <f>SLOPE(F$2:F$731,$A$2:$A$731)*$A369+INTERCEPT(F$2:F$731,$A$2:$A$731)</f>
        <v/>
      </c>
      <c r="J369" s="6" t="inlineStr"/>
    </row>
    <row r="370">
      <c r="A370" s="2" t="n">
        <v>45660</v>
      </c>
      <c r="B370" s="3" t="n">
        <v>83.68000000000001</v>
      </c>
      <c r="C370" s="4">
        <f>B370/B$2*100</f>
        <v/>
      </c>
      <c r="D370" s="5">
        <f>AVERAGE(B341:B370)</f>
        <v/>
      </c>
      <c r="E370" s="5">
        <f>SLOPE(B$2:B$731,$A$2:$A$731)*$A370+INTERCEPT(B$2:B$731,$A$2:$A$731)</f>
        <v/>
      </c>
      <c r="F370" s="3" t="n">
        <v>0.79</v>
      </c>
      <c r="G370" s="4">
        <f>F370/F$2*100</f>
        <v/>
      </c>
      <c r="H370" s="5">
        <f>AVERAGE(F341:F370)</f>
        <v/>
      </c>
      <c r="I370" s="5">
        <f>SLOPE(F$2:F$731,$A$2:$A$731)*$A370+INTERCEPT(F$2:F$731,$A$2:$A$731)</f>
        <v/>
      </c>
      <c r="J370" s="6" t="inlineStr"/>
    </row>
    <row r="371">
      <c r="A371" s="2" t="n">
        <v>45661</v>
      </c>
      <c r="B371" s="3" t="n">
        <v>83.69</v>
      </c>
      <c r="C371" s="4">
        <f>B371/B$2*100</f>
        <v/>
      </c>
      <c r="D371" s="5">
        <f>AVERAGE(B342:B371)</f>
        <v/>
      </c>
      <c r="E371" s="5">
        <f>SLOPE(B$2:B$731,$A$2:$A$731)*$A371+INTERCEPT(B$2:B$731,$A$2:$A$731)</f>
        <v/>
      </c>
      <c r="F371" s="3" t="n">
        <v>0.79</v>
      </c>
      <c r="G371" s="4">
        <f>F371/F$2*100</f>
        <v/>
      </c>
      <c r="H371" s="5">
        <f>AVERAGE(F342:F371)</f>
        <v/>
      </c>
      <c r="I371" s="5">
        <f>SLOPE(F$2:F$731,$A$2:$A$731)*$A371+INTERCEPT(F$2:F$731,$A$2:$A$731)</f>
        <v/>
      </c>
      <c r="J371" s="6" t="inlineStr">
        <is>
          <t>yes</t>
        </is>
      </c>
    </row>
    <row r="372">
      <c r="A372" s="2" t="n">
        <v>45662</v>
      </c>
      <c r="B372" s="3" t="n">
        <v>83.7</v>
      </c>
      <c r="C372" s="4">
        <f>B372/B$2*100</f>
        <v/>
      </c>
      <c r="D372" s="5">
        <f>AVERAGE(B343:B372)</f>
        <v/>
      </c>
      <c r="E372" s="5">
        <f>SLOPE(B$2:B$731,$A$2:$A$731)*$A372+INTERCEPT(B$2:B$731,$A$2:$A$731)</f>
        <v/>
      </c>
      <c r="F372" s="3" t="n">
        <v>0.79</v>
      </c>
      <c r="G372" s="4">
        <f>F372/F$2*100</f>
        <v/>
      </c>
      <c r="H372" s="5">
        <f>AVERAGE(F343:F372)</f>
        <v/>
      </c>
      <c r="I372" s="5">
        <f>SLOPE(F$2:F$731,$A$2:$A$731)*$A372+INTERCEPT(F$2:F$731,$A$2:$A$731)</f>
        <v/>
      </c>
      <c r="J372" s="6" t="inlineStr">
        <is>
          <t>yes</t>
        </is>
      </c>
    </row>
    <row r="373">
      <c r="A373" s="2" t="n">
        <v>45663</v>
      </c>
      <c r="B373" s="3" t="n">
        <v>83.70999999999999</v>
      </c>
      <c r="C373" s="4">
        <f>B373/B$2*100</f>
        <v/>
      </c>
      <c r="D373" s="5">
        <f>AVERAGE(B344:B373)</f>
        <v/>
      </c>
      <c r="E373" s="5">
        <f>SLOPE(B$2:B$731,$A$2:$A$731)*$A373+INTERCEPT(B$2:B$731,$A$2:$A$731)</f>
        <v/>
      </c>
      <c r="F373" s="3" t="n">
        <v>0.79</v>
      </c>
      <c r="G373" s="4">
        <f>F373/F$2*100</f>
        <v/>
      </c>
      <c r="H373" s="5">
        <f>AVERAGE(F344:F373)</f>
        <v/>
      </c>
      <c r="I373" s="5">
        <f>SLOPE(F$2:F$731,$A$2:$A$731)*$A373+INTERCEPT(F$2:F$731,$A$2:$A$731)</f>
        <v/>
      </c>
      <c r="J373" s="6" t="inlineStr"/>
    </row>
    <row r="374">
      <c r="A374" s="2" t="n">
        <v>45664</v>
      </c>
      <c r="B374" s="3" t="n">
        <v>83.72</v>
      </c>
      <c r="C374" s="4">
        <f>B374/B$2*100</f>
        <v/>
      </c>
      <c r="D374" s="5">
        <f>AVERAGE(B345:B374)</f>
        <v/>
      </c>
      <c r="E374" s="5">
        <f>SLOPE(B$2:B$731,$A$2:$A$731)*$A374+INTERCEPT(B$2:B$731,$A$2:$A$731)</f>
        <v/>
      </c>
      <c r="F374" s="3" t="n">
        <v>0.79</v>
      </c>
      <c r="G374" s="4">
        <f>F374/F$2*100</f>
        <v/>
      </c>
      <c r="H374" s="5">
        <f>AVERAGE(F345:F374)</f>
        <v/>
      </c>
      <c r="I374" s="5">
        <f>SLOPE(F$2:F$731,$A$2:$A$731)*$A374+INTERCEPT(F$2:F$731,$A$2:$A$731)</f>
        <v/>
      </c>
      <c r="J374" s="6" t="inlineStr"/>
    </row>
    <row r="375">
      <c r="A375" s="2" t="n">
        <v>45665</v>
      </c>
      <c r="B375" s="3" t="n">
        <v>83.73</v>
      </c>
      <c r="C375" s="4">
        <f>B375/B$2*100</f>
        <v/>
      </c>
      <c r="D375" s="5">
        <f>AVERAGE(B346:B375)</f>
        <v/>
      </c>
      <c r="E375" s="5">
        <f>SLOPE(B$2:B$731,$A$2:$A$731)*$A375+INTERCEPT(B$2:B$731,$A$2:$A$731)</f>
        <v/>
      </c>
      <c r="F375" s="3" t="n">
        <v>0.79</v>
      </c>
      <c r="G375" s="4">
        <f>F375/F$2*100</f>
        <v/>
      </c>
      <c r="H375" s="5">
        <f>AVERAGE(F346:F375)</f>
        <v/>
      </c>
      <c r="I375" s="5">
        <f>SLOPE(F$2:F$731,$A$2:$A$731)*$A375+INTERCEPT(F$2:F$731,$A$2:$A$731)</f>
        <v/>
      </c>
      <c r="J375" s="6" t="inlineStr"/>
    </row>
    <row r="376">
      <c r="A376" s="2" t="n">
        <v>45666</v>
      </c>
      <c r="B376" s="3" t="n">
        <v>83.73999999999999</v>
      </c>
      <c r="C376" s="4">
        <f>B376/B$2*100</f>
        <v/>
      </c>
      <c r="D376" s="5">
        <f>AVERAGE(B347:B376)</f>
        <v/>
      </c>
      <c r="E376" s="5">
        <f>SLOPE(B$2:B$731,$A$2:$A$731)*$A376+INTERCEPT(B$2:B$731,$A$2:$A$731)</f>
        <v/>
      </c>
      <c r="F376" s="3" t="n">
        <v>0.79</v>
      </c>
      <c r="G376" s="4">
        <f>F376/F$2*100</f>
        <v/>
      </c>
      <c r="H376" s="5">
        <f>AVERAGE(F347:F376)</f>
        <v/>
      </c>
      <c r="I376" s="5">
        <f>SLOPE(F$2:F$731,$A$2:$A$731)*$A376+INTERCEPT(F$2:F$731,$A$2:$A$731)</f>
        <v/>
      </c>
      <c r="J376" s="6" t="inlineStr"/>
    </row>
    <row r="377">
      <c r="A377" s="2" t="n">
        <v>45667</v>
      </c>
      <c r="B377" s="3" t="n">
        <v>83.75</v>
      </c>
      <c r="C377" s="4">
        <f>B377/B$2*100</f>
        <v/>
      </c>
      <c r="D377" s="5">
        <f>AVERAGE(B348:B377)</f>
        <v/>
      </c>
      <c r="E377" s="5">
        <f>SLOPE(B$2:B$731,$A$2:$A$731)*$A377+INTERCEPT(B$2:B$731,$A$2:$A$731)</f>
        <v/>
      </c>
      <c r="F377" s="3" t="n">
        <v>0.79</v>
      </c>
      <c r="G377" s="4">
        <f>F377/F$2*100</f>
        <v/>
      </c>
      <c r="H377" s="5">
        <f>AVERAGE(F348:F377)</f>
        <v/>
      </c>
      <c r="I377" s="5">
        <f>SLOPE(F$2:F$731,$A$2:$A$731)*$A377+INTERCEPT(F$2:F$731,$A$2:$A$731)</f>
        <v/>
      </c>
      <c r="J377" s="6" t="inlineStr"/>
    </row>
    <row r="378">
      <c r="A378" s="2" t="n">
        <v>45668</v>
      </c>
      <c r="B378" s="3" t="n">
        <v>83.76000000000001</v>
      </c>
      <c r="C378" s="4">
        <f>B378/B$2*100</f>
        <v/>
      </c>
      <c r="D378" s="5">
        <f>AVERAGE(B349:B378)</f>
        <v/>
      </c>
      <c r="E378" s="5">
        <f>SLOPE(B$2:B$731,$A$2:$A$731)*$A378+INTERCEPT(B$2:B$731,$A$2:$A$731)</f>
        <v/>
      </c>
      <c r="F378" s="3" t="n">
        <v>0.79</v>
      </c>
      <c r="G378" s="4">
        <f>F378/F$2*100</f>
        <v/>
      </c>
      <c r="H378" s="5">
        <f>AVERAGE(F349:F378)</f>
        <v/>
      </c>
      <c r="I378" s="5">
        <f>SLOPE(F$2:F$731,$A$2:$A$731)*$A378+INTERCEPT(F$2:F$731,$A$2:$A$731)</f>
        <v/>
      </c>
      <c r="J378" s="6" t="inlineStr">
        <is>
          <t>yes</t>
        </is>
      </c>
    </row>
    <row r="379">
      <c r="A379" s="2" t="n">
        <v>45669</v>
      </c>
      <c r="B379" s="3" t="n">
        <v>83.77</v>
      </c>
      <c r="C379" s="4">
        <f>B379/B$2*100</f>
        <v/>
      </c>
      <c r="D379" s="5">
        <f>AVERAGE(B350:B379)</f>
        <v/>
      </c>
      <c r="E379" s="5">
        <f>SLOPE(B$2:B$731,$A$2:$A$731)*$A379+INTERCEPT(B$2:B$731,$A$2:$A$731)</f>
        <v/>
      </c>
      <c r="F379" s="3" t="n">
        <v>0.79</v>
      </c>
      <c r="G379" s="4">
        <f>F379/F$2*100</f>
        <v/>
      </c>
      <c r="H379" s="5">
        <f>AVERAGE(F350:F379)</f>
        <v/>
      </c>
      <c r="I379" s="5">
        <f>SLOPE(F$2:F$731,$A$2:$A$731)*$A379+INTERCEPT(F$2:F$731,$A$2:$A$731)</f>
        <v/>
      </c>
      <c r="J379" s="6" t="inlineStr">
        <is>
          <t>yes</t>
        </is>
      </c>
    </row>
    <row r="380">
      <c r="A380" s="2" t="n">
        <v>45670</v>
      </c>
      <c r="B380" s="3" t="n">
        <v>83.78</v>
      </c>
      <c r="C380" s="4">
        <f>B380/B$2*100</f>
        <v/>
      </c>
      <c r="D380" s="5">
        <f>AVERAGE(B351:B380)</f>
        <v/>
      </c>
      <c r="E380" s="5">
        <f>SLOPE(B$2:B$731,$A$2:$A$731)*$A380+INTERCEPT(B$2:B$731,$A$2:$A$731)</f>
        <v/>
      </c>
      <c r="F380" s="3" t="n">
        <v>0.79</v>
      </c>
      <c r="G380" s="4">
        <f>F380/F$2*100</f>
        <v/>
      </c>
      <c r="H380" s="5">
        <f>AVERAGE(F351:F380)</f>
        <v/>
      </c>
      <c r="I380" s="5">
        <f>SLOPE(F$2:F$731,$A$2:$A$731)*$A380+INTERCEPT(F$2:F$731,$A$2:$A$731)</f>
        <v/>
      </c>
      <c r="J380" s="6" t="inlineStr"/>
    </row>
    <row r="381">
      <c r="A381" s="2" t="n">
        <v>45671</v>
      </c>
      <c r="B381" s="3" t="n">
        <v>83.79000000000001</v>
      </c>
      <c r="C381" s="4">
        <f>B381/B$2*100</f>
        <v/>
      </c>
      <c r="D381" s="5">
        <f>AVERAGE(B352:B381)</f>
        <v/>
      </c>
      <c r="E381" s="5">
        <f>SLOPE(B$2:B$731,$A$2:$A$731)*$A381+INTERCEPT(B$2:B$731,$A$2:$A$731)</f>
        <v/>
      </c>
      <c r="F381" s="3" t="n">
        <v>0.79</v>
      </c>
      <c r="G381" s="4">
        <f>F381/F$2*100</f>
        <v/>
      </c>
      <c r="H381" s="5">
        <f>AVERAGE(F352:F381)</f>
        <v/>
      </c>
      <c r="I381" s="5">
        <f>SLOPE(F$2:F$731,$A$2:$A$731)*$A381+INTERCEPT(F$2:F$731,$A$2:$A$731)</f>
        <v/>
      </c>
      <c r="J381" s="6" t="inlineStr"/>
    </row>
    <row r="382">
      <c r="A382" s="2" t="n">
        <v>45672</v>
      </c>
      <c r="B382" s="3" t="n">
        <v>83.8</v>
      </c>
      <c r="C382" s="4">
        <f>B382/B$2*100</f>
        <v/>
      </c>
      <c r="D382" s="5">
        <f>AVERAGE(B353:B382)</f>
        <v/>
      </c>
      <c r="E382" s="5">
        <f>SLOPE(B$2:B$731,$A$2:$A$731)*$A382+INTERCEPT(B$2:B$731,$A$2:$A$731)</f>
        <v/>
      </c>
      <c r="F382" s="3" t="n">
        <v>0.79</v>
      </c>
      <c r="G382" s="4">
        <f>F382/F$2*100</f>
        <v/>
      </c>
      <c r="H382" s="5">
        <f>AVERAGE(F353:F382)</f>
        <v/>
      </c>
      <c r="I382" s="5">
        <f>SLOPE(F$2:F$731,$A$2:$A$731)*$A382+INTERCEPT(F$2:F$731,$A$2:$A$731)</f>
        <v/>
      </c>
      <c r="J382" s="6" t="inlineStr"/>
    </row>
    <row r="383">
      <c r="A383" s="2" t="n">
        <v>45673</v>
      </c>
      <c r="B383" s="3" t="n">
        <v>83.81</v>
      </c>
      <c r="C383" s="4">
        <f>B383/B$2*100</f>
        <v/>
      </c>
      <c r="D383" s="5">
        <f>AVERAGE(B354:B383)</f>
        <v/>
      </c>
      <c r="E383" s="5">
        <f>SLOPE(B$2:B$731,$A$2:$A$731)*$A383+INTERCEPT(B$2:B$731,$A$2:$A$731)</f>
        <v/>
      </c>
      <c r="F383" s="3" t="n">
        <v>0.79</v>
      </c>
      <c r="G383" s="4">
        <f>F383/F$2*100</f>
        <v/>
      </c>
      <c r="H383" s="5">
        <f>AVERAGE(F354:F383)</f>
        <v/>
      </c>
      <c r="I383" s="5">
        <f>SLOPE(F$2:F$731,$A$2:$A$731)*$A383+INTERCEPT(F$2:F$731,$A$2:$A$731)</f>
        <v/>
      </c>
      <c r="J383" s="6" t="inlineStr"/>
    </row>
    <row r="384">
      <c r="A384" s="2" t="n">
        <v>45674</v>
      </c>
      <c r="B384" s="3" t="n">
        <v>83.81999999999999</v>
      </c>
      <c r="C384" s="4">
        <f>B384/B$2*100</f>
        <v/>
      </c>
      <c r="D384" s="5">
        <f>AVERAGE(B355:B384)</f>
        <v/>
      </c>
      <c r="E384" s="5">
        <f>SLOPE(B$2:B$731,$A$2:$A$731)*$A384+INTERCEPT(B$2:B$731,$A$2:$A$731)</f>
        <v/>
      </c>
      <c r="F384" s="3" t="n">
        <v>0.79</v>
      </c>
      <c r="G384" s="4">
        <f>F384/F$2*100</f>
        <v/>
      </c>
      <c r="H384" s="5">
        <f>AVERAGE(F355:F384)</f>
        <v/>
      </c>
      <c r="I384" s="5">
        <f>SLOPE(F$2:F$731,$A$2:$A$731)*$A384+INTERCEPT(F$2:F$731,$A$2:$A$731)</f>
        <v/>
      </c>
      <c r="J384" s="6" t="inlineStr"/>
    </row>
    <row r="385">
      <c r="A385" s="2" t="n">
        <v>45675</v>
      </c>
      <c r="B385" s="3" t="n">
        <v>83.83</v>
      </c>
      <c r="C385" s="4">
        <f>B385/B$2*100</f>
        <v/>
      </c>
      <c r="D385" s="5">
        <f>AVERAGE(B356:B385)</f>
        <v/>
      </c>
      <c r="E385" s="5">
        <f>SLOPE(B$2:B$731,$A$2:$A$731)*$A385+INTERCEPT(B$2:B$731,$A$2:$A$731)</f>
        <v/>
      </c>
      <c r="F385" s="3" t="n">
        <v>0.79</v>
      </c>
      <c r="G385" s="4">
        <f>F385/F$2*100</f>
        <v/>
      </c>
      <c r="H385" s="5">
        <f>AVERAGE(F356:F385)</f>
        <v/>
      </c>
      <c r="I385" s="5">
        <f>SLOPE(F$2:F$731,$A$2:$A$731)*$A385+INTERCEPT(F$2:F$731,$A$2:$A$731)</f>
        <v/>
      </c>
      <c r="J385" s="6" t="inlineStr">
        <is>
          <t>yes</t>
        </is>
      </c>
    </row>
    <row r="386">
      <c r="A386" s="2" t="n">
        <v>45676</v>
      </c>
      <c r="B386" s="3" t="n">
        <v>83.84</v>
      </c>
      <c r="C386" s="4">
        <f>B386/B$2*100</f>
        <v/>
      </c>
      <c r="D386" s="5">
        <f>AVERAGE(B357:B386)</f>
        <v/>
      </c>
      <c r="E386" s="5">
        <f>SLOPE(B$2:B$731,$A$2:$A$731)*$A386+INTERCEPT(B$2:B$731,$A$2:$A$731)</f>
        <v/>
      </c>
      <c r="F386" s="3" t="n">
        <v>0.79</v>
      </c>
      <c r="G386" s="4">
        <f>F386/F$2*100</f>
        <v/>
      </c>
      <c r="H386" s="5">
        <f>AVERAGE(F357:F386)</f>
        <v/>
      </c>
      <c r="I386" s="5">
        <f>SLOPE(F$2:F$731,$A$2:$A$731)*$A386+INTERCEPT(F$2:F$731,$A$2:$A$731)</f>
        <v/>
      </c>
      <c r="J386" s="6" t="inlineStr">
        <is>
          <t>yes</t>
        </is>
      </c>
    </row>
    <row r="387">
      <c r="A387" s="2" t="n">
        <v>45677</v>
      </c>
      <c r="B387" s="3" t="n">
        <v>83.84999999999999</v>
      </c>
      <c r="C387" s="4">
        <f>B387/B$2*100</f>
        <v/>
      </c>
      <c r="D387" s="5">
        <f>AVERAGE(B358:B387)</f>
        <v/>
      </c>
      <c r="E387" s="5">
        <f>SLOPE(B$2:B$731,$A$2:$A$731)*$A387+INTERCEPT(B$2:B$731,$A$2:$A$731)</f>
        <v/>
      </c>
      <c r="F387" s="3" t="n">
        <v>0.79</v>
      </c>
      <c r="G387" s="4">
        <f>F387/F$2*100</f>
        <v/>
      </c>
      <c r="H387" s="5">
        <f>AVERAGE(F358:F387)</f>
        <v/>
      </c>
      <c r="I387" s="5">
        <f>SLOPE(F$2:F$731,$A$2:$A$731)*$A387+INTERCEPT(F$2:F$731,$A$2:$A$731)</f>
        <v/>
      </c>
      <c r="J387" s="6" t="inlineStr"/>
    </row>
    <row r="388">
      <c r="A388" s="2" t="n">
        <v>45678</v>
      </c>
      <c r="B388" s="3" t="n">
        <v>83.86</v>
      </c>
      <c r="C388" s="4">
        <f>B388/B$2*100</f>
        <v/>
      </c>
      <c r="D388" s="5">
        <f>AVERAGE(B359:B388)</f>
        <v/>
      </c>
      <c r="E388" s="5">
        <f>SLOPE(B$2:B$731,$A$2:$A$731)*$A388+INTERCEPT(B$2:B$731,$A$2:$A$731)</f>
        <v/>
      </c>
      <c r="F388" s="3" t="n">
        <v>0.79</v>
      </c>
      <c r="G388" s="4">
        <f>F388/F$2*100</f>
        <v/>
      </c>
      <c r="H388" s="5">
        <f>AVERAGE(F359:F388)</f>
        <v/>
      </c>
      <c r="I388" s="5">
        <f>SLOPE(F$2:F$731,$A$2:$A$731)*$A388+INTERCEPT(F$2:F$731,$A$2:$A$731)</f>
        <v/>
      </c>
      <c r="J388" s="6" t="inlineStr"/>
    </row>
    <row r="389">
      <c r="A389" s="2" t="n">
        <v>45679</v>
      </c>
      <c r="B389" s="3" t="n">
        <v>83.87</v>
      </c>
      <c r="C389" s="4">
        <f>B389/B$2*100</f>
        <v/>
      </c>
      <c r="D389" s="5">
        <f>AVERAGE(B360:B389)</f>
        <v/>
      </c>
      <c r="E389" s="5">
        <f>SLOPE(B$2:B$731,$A$2:$A$731)*$A389+INTERCEPT(B$2:B$731,$A$2:$A$731)</f>
        <v/>
      </c>
      <c r="F389" s="3" t="n">
        <v>0.79</v>
      </c>
      <c r="G389" s="4">
        <f>F389/F$2*100</f>
        <v/>
      </c>
      <c r="H389" s="5">
        <f>AVERAGE(F360:F389)</f>
        <v/>
      </c>
      <c r="I389" s="5">
        <f>SLOPE(F$2:F$731,$A$2:$A$731)*$A389+INTERCEPT(F$2:F$731,$A$2:$A$731)</f>
        <v/>
      </c>
      <c r="J389" s="6" t="inlineStr"/>
    </row>
    <row r="390">
      <c r="A390" s="2" t="n">
        <v>45680</v>
      </c>
      <c r="B390" s="3" t="n">
        <v>83.88</v>
      </c>
      <c r="C390" s="4">
        <f>B390/B$2*100</f>
        <v/>
      </c>
      <c r="D390" s="5">
        <f>AVERAGE(B361:B390)</f>
        <v/>
      </c>
      <c r="E390" s="5">
        <f>SLOPE(B$2:B$731,$A$2:$A$731)*$A390+INTERCEPT(B$2:B$731,$A$2:$A$731)</f>
        <v/>
      </c>
      <c r="F390" s="3" t="n">
        <v>0.79</v>
      </c>
      <c r="G390" s="4">
        <f>F390/F$2*100</f>
        <v/>
      </c>
      <c r="H390" s="5">
        <f>AVERAGE(F361:F390)</f>
        <v/>
      </c>
      <c r="I390" s="5">
        <f>SLOPE(F$2:F$731,$A$2:$A$731)*$A390+INTERCEPT(F$2:F$731,$A$2:$A$731)</f>
        <v/>
      </c>
      <c r="J390" s="6" t="inlineStr"/>
    </row>
    <row r="391">
      <c r="A391" s="2" t="n">
        <v>45681</v>
      </c>
      <c r="B391" s="3" t="n">
        <v>83.89</v>
      </c>
      <c r="C391" s="4">
        <f>B391/B$2*100</f>
        <v/>
      </c>
      <c r="D391" s="5">
        <f>AVERAGE(B362:B391)</f>
        <v/>
      </c>
      <c r="E391" s="5">
        <f>SLOPE(B$2:B$731,$A$2:$A$731)*$A391+INTERCEPT(B$2:B$731,$A$2:$A$731)</f>
        <v/>
      </c>
      <c r="F391" s="3" t="n">
        <v>0.79</v>
      </c>
      <c r="G391" s="4">
        <f>F391/F$2*100</f>
        <v/>
      </c>
      <c r="H391" s="5">
        <f>AVERAGE(F362:F391)</f>
        <v/>
      </c>
      <c r="I391" s="5">
        <f>SLOPE(F$2:F$731,$A$2:$A$731)*$A391+INTERCEPT(F$2:F$731,$A$2:$A$731)</f>
        <v/>
      </c>
      <c r="J391" s="6" t="inlineStr"/>
    </row>
    <row r="392">
      <c r="A392" s="2" t="n">
        <v>45682</v>
      </c>
      <c r="B392" s="3" t="n">
        <v>83.90000000000001</v>
      </c>
      <c r="C392" s="4">
        <f>B392/B$2*100</f>
        <v/>
      </c>
      <c r="D392" s="5">
        <f>AVERAGE(B363:B392)</f>
        <v/>
      </c>
      <c r="E392" s="5">
        <f>SLOPE(B$2:B$731,$A$2:$A$731)*$A392+INTERCEPT(B$2:B$731,$A$2:$A$731)</f>
        <v/>
      </c>
      <c r="F392" s="3" t="n">
        <v>0.79</v>
      </c>
      <c r="G392" s="4">
        <f>F392/F$2*100</f>
        <v/>
      </c>
      <c r="H392" s="5">
        <f>AVERAGE(F363:F392)</f>
        <v/>
      </c>
      <c r="I392" s="5">
        <f>SLOPE(F$2:F$731,$A$2:$A$731)*$A392+INTERCEPT(F$2:F$731,$A$2:$A$731)</f>
        <v/>
      </c>
      <c r="J392" s="6" t="inlineStr">
        <is>
          <t>yes</t>
        </is>
      </c>
    </row>
    <row r="393">
      <c r="A393" s="2" t="n">
        <v>45683</v>
      </c>
      <c r="B393" s="3" t="n">
        <v>83.91</v>
      </c>
      <c r="C393" s="4">
        <f>B393/B$2*100</f>
        <v/>
      </c>
      <c r="D393" s="5">
        <f>AVERAGE(B364:B393)</f>
        <v/>
      </c>
      <c r="E393" s="5">
        <f>SLOPE(B$2:B$731,$A$2:$A$731)*$A393+INTERCEPT(B$2:B$731,$A$2:$A$731)</f>
        <v/>
      </c>
      <c r="F393" s="3" t="n">
        <v>0.79</v>
      </c>
      <c r="G393" s="4">
        <f>F393/F$2*100</f>
        <v/>
      </c>
      <c r="H393" s="5">
        <f>AVERAGE(F364:F393)</f>
        <v/>
      </c>
      <c r="I393" s="5">
        <f>SLOPE(F$2:F$731,$A$2:$A$731)*$A393+INTERCEPT(F$2:F$731,$A$2:$A$731)</f>
        <v/>
      </c>
      <c r="J393" s="6" t="inlineStr">
        <is>
          <t>yes</t>
        </is>
      </c>
    </row>
    <row r="394">
      <c r="A394" s="2" t="n">
        <v>45684</v>
      </c>
      <c r="B394" s="3" t="n">
        <v>83.92</v>
      </c>
      <c r="C394" s="4">
        <f>B394/B$2*100</f>
        <v/>
      </c>
      <c r="D394" s="5">
        <f>AVERAGE(B365:B394)</f>
        <v/>
      </c>
      <c r="E394" s="5">
        <f>SLOPE(B$2:B$731,$A$2:$A$731)*$A394+INTERCEPT(B$2:B$731,$A$2:$A$731)</f>
        <v/>
      </c>
      <c r="F394" s="3" t="n">
        <v>0.79</v>
      </c>
      <c r="G394" s="4">
        <f>F394/F$2*100</f>
        <v/>
      </c>
      <c r="H394" s="5">
        <f>AVERAGE(F365:F394)</f>
        <v/>
      </c>
      <c r="I394" s="5">
        <f>SLOPE(F$2:F$731,$A$2:$A$731)*$A394+INTERCEPT(F$2:F$731,$A$2:$A$731)</f>
        <v/>
      </c>
      <c r="J394" s="6" t="inlineStr"/>
    </row>
    <row r="395">
      <c r="A395" s="2" t="n">
        <v>45685</v>
      </c>
      <c r="B395" s="3" t="n">
        <v>83.93000000000001</v>
      </c>
      <c r="C395" s="4">
        <f>B395/B$2*100</f>
        <v/>
      </c>
      <c r="D395" s="5">
        <f>AVERAGE(B366:B395)</f>
        <v/>
      </c>
      <c r="E395" s="5">
        <f>SLOPE(B$2:B$731,$A$2:$A$731)*$A395+INTERCEPT(B$2:B$731,$A$2:$A$731)</f>
        <v/>
      </c>
      <c r="F395" s="3" t="n">
        <v>0.79</v>
      </c>
      <c r="G395" s="4">
        <f>F395/F$2*100</f>
        <v/>
      </c>
      <c r="H395" s="5">
        <f>AVERAGE(F366:F395)</f>
        <v/>
      </c>
      <c r="I395" s="5">
        <f>SLOPE(F$2:F$731,$A$2:$A$731)*$A395+INTERCEPT(F$2:F$731,$A$2:$A$731)</f>
        <v/>
      </c>
      <c r="J395" s="6" t="inlineStr"/>
    </row>
    <row r="396">
      <c r="A396" s="2" t="n">
        <v>45686</v>
      </c>
      <c r="B396" s="3" t="n">
        <v>83.94</v>
      </c>
      <c r="C396" s="4">
        <f>B396/B$2*100</f>
        <v/>
      </c>
      <c r="D396" s="5">
        <f>AVERAGE(B367:B396)</f>
        <v/>
      </c>
      <c r="E396" s="5">
        <f>SLOPE(B$2:B$731,$A$2:$A$731)*$A396+INTERCEPT(B$2:B$731,$A$2:$A$731)</f>
        <v/>
      </c>
      <c r="F396" s="3" t="n">
        <v>0.79</v>
      </c>
      <c r="G396" s="4">
        <f>F396/F$2*100</f>
        <v/>
      </c>
      <c r="H396" s="5">
        <f>AVERAGE(F367:F396)</f>
        <v/>
      </c>
      <c r="I396" s="5">
        <f>SLOPE(F$2:F$731,$A$2:$A$731)*$A396+INTERCEPT(F$2:F$731,$A$2:$A$731)</f>
        <v/>
      </c>
      <c r="J396" s="6" t="inlineStr"/>
    </row>
    <row r="397">
      <c r="A397" s="2" t="n">
        <v>45687</v>
      </c>
      <c r="B397" s="3" t="n">
        <v>83.95</v>
      </c>
      <c r="C397" s="4">
        <f>B397/B$2*100</f>
        <v/>
      </c>
      <c r="D397" s="5">
        <f>AVERAGE(B368:B397)</f>
        <v/>
      </c>
      <c r="E397" s="5">
        <f>SLOPE(B$2:B$731,$A$2:$A$731)*$A397+INTERCEPT(B$2:B$731,$A$2:$A$731)</f>
        <v/>
      </c>
      <c r="F397" s="3" t="n">
        <v>0.79</v>
      </c>
      <c r="G397" s="4">
        <f>F397/F$2*100</f>
        <v/>
      </c>
      <c r="H397" s="5">
        <f>AVERAGE(F368:F397)</f>
        <v/>
      </c>
      <c r="I397" s="5">
        <f>SLOPE(F$2:F$731,$A$2:$A$731)*$A397+INTERCEPT(F$2:F$731,$A$2:$A$731)</f>
        <v/>
      </c>
      <c r="J397" s="6" t="inlineStr"/>
    </row>
    <row r="398">
      <c r="A398" s="2" t="n">
        <v>45688</v>
      </c>
      <c r="B398" s="3" t="n">
        <v>83.95999999999999</v>
      </c>
      <c r="C398" s="4">
        <f>B398/B$2*100</f>
        <v/>
      </c>
      <c r="D398" s="5">
        <f>AVERAGE(B369:B398)</f>
        <v/>
      </c>
      <c r="E398" s="5">
        <f>SLOPE(B$2:B$731,$A$2:$A$731)*$A398+INTERCEPT(B$2:B$731,$A$2:$A$731)</f>
        <v/>
      </c>
      <c r="F398" s="3" t="n">
        <v>0.79</v>
      </c>
      <c r="G398" s="4">
        <f>F398/F$2*100</f>
        <v/>
      </c>
      <c r="H398" s="5">
        <f>AVERAGE(F369:F398)</f>
        <v/>
      </c>
      <c r="I398" s="5">
        <f>SLOPE(F$2:F$731,$A$2:$A$731)*$A398+INTERCEPT(F$2:F$731,$A$2:$A$731)</f>
        <v/>
      </c>
      <c r="J398" s="6" t="inlineStr"/>
    </row>
    <row r="399">
      <c r="A399" s="2" t="n">
        <v>45689</v>
      </c>
      <c r="B399" s="3" t="n">
        <v>83.97</v>
      </c>
      <c r="C399" s="4">
        <f>B399/B$2*100</f>
        <v/>
      </c>
      <c r="D399" s="5">
        <f>AVERAGE(B370:B399)</f>
        <v/>
      </c>
      <c r="E399" s="5">
        <f>SLOPE(B$2:B$731,$A$2:$A$731)*$A399+INTERCEPT(B$2:B$731,$A$2:$A$731)</f>
        <v/>
      </c>
      <c r="F399" s="3" t="n">
        <v>0.79</v>
      </c>
      <c r="G399" s="4">
        <f>F399/F$2*100</f>
        <v/>
      </c>
      <c r="H399" s="5">
        <f>AVERAGE(F370:F399)</f>
        <v/>
      </c>
      <c r="I399" s="5">
        <f>SLOPE(F$2:F$731,$A$2:$A$731)*$A399+INTERCEPT(F$2:F$731,$A$2:$A$731)</f>
        <v/>
      </c>
      <c r="J399" s="6" t="inlineStr">
        <is>
          <t>yes</t>
        </is>
      </c>
    </row>
    <row r="400">
      <c r="A400" s="2" t="n">
        <v>45690</v>
      </c>
      <c r="B400" s="3" t="n">
        <v>83.98</v>
      </c>
      <c r="C400" s="4">
        <f>B400/B$2*100</f>
        <v/>
      </c>
      <c r="D400" s="5">
        <f>AVERAGE(B371:B400)</f>
        <v/>
      </c>
      <c r="E400" s="5">
        <f>SLOPE(B$2:B$731,$A$2:$A$731)*$A400+INTERCEPT(B$2:B$731,$A$2:$A$731)</f>
        <v/>
      </c>
      <c r="F400" s="3" t="n">
        <v>0.79</v>
      </c>
      <c r="G400" s="4">
        <f>F400/F$2*100</f>
        <v/>
      </c>
      <c r="H400" s="5">
        <f>AVERAGE(F371:F400)</f>
        <v/>
      </c>
      <c r="I400" s="5">
        <f>SLOPE(F$2:F$731,$A$2:$A$731)*$A400+INTERCEPT(F$2:F$731,$A$2:$A$731)</f>
        <v/>
      </c>
      <c r="J400" s="6" t="inlineStr">
        <is>
          <t>yes</t>
        </is>
      </c>
    </row>
    <row r="401">
      <c r="A401" s="2" t="n">
        <v>45691</v>
      </c>
      <c r="B401" s="3" t="n">
        <v>83.98999999999999</v>
      </c>
      <c r="C401" s="4">
        <f>B401/B$2*100</f>
        <v/>
      </c>
      <c r="D401" s="5">
        <f>AVERAGE(B372:B401)</f>
        <v/>
      </c>
      <c r="E401" s="5">
        <f>SLOPE(B$2:B$731,$A$2:$A$731)*$A401+INTERCEPT(B$2:B$731,$A$2:$A$731)</f>
        <v/>
      </c>
      <c r="F401" s="3" t="n">
        <v>0.79</v>
      </c>
      <c r="G401" s="4">
        <f>F401/F$2*100</f>
        <v/>
      </c>
      <c r="H401" s="5">
        <f>AVERAGE(F372:F401)</f>
        <v/>
      </c>
      <c r="I401" s="5">
        <f>SLOPE(F$2:F$731,$A$2:$A$731)*$A401+INTERCEPT(F$2:F$731,$A$2:$A$731)</f>
        <v/>
      </c>
      <c r="J401" s="6" t="inlineStr"/>
    </row>
    <row r="402">
      <c r="A402" s="2" t="n">
        <v>45692</v>
      </c>
      <c r="B402" s="3" t="n">
        <v>84</v>
      </c>
      <c r="C402" s="4">
        <f>B402/B$2*100</f>
        <v/>
      </c>
      <c r="D402" s="5">
        <f>AVERAGE(B373:B402)</f>
        <v/>
      </c>
      <c r="E402" s="5">
        <f>SLOPE(B$2:B$731,$A$2:$A$731)*$A402+INTERCEPT(B$2:B$731,$A$2:$A$731)</f>
        <v/>
      </c>
      <c r="F402" s="3" t="n">
        <v>0.79</v>
      </c>
      <c r="G402" s="4">
        <f>F402/F$2*100</f>
        <v/>
      </c>
      <c r="H402" s="5">
        <f>AVERAGE(F373:F402)</f>
        <v/>
      </c>
      <c r="I402" s="5">
        <f>SLOPE(F$2:F$731,$A$2:$A$731)*$A402+INTERCEPT(F$2:F$731,$A$2:$A$731)</f>
        <v/>
      </c>
      <c r="J402" s="6" t="inlineStr"/>
    </row>
    <row r="403">
      <c r="A403" s="2" t="n">
        <v>45693</v>
      </c>
      <c r="B403" s="3" t="n">
        <v>84.01000000000001</v>
      </c>
      <c r="C403" s="4">
        <f>B403/B$2*100</f>
        <v/>
      </c>
      <c r="D403" s="5">
        <f>AVERAGE(B374:B403)</f>
        <v/>
      </c>
      <c r="E403" s="5">
        <f>SLOPE(B$2:B$731,$A$2:$A$731)*$A403+INTERCEPT(B$2:B$731,$A$2:$A$731)</f>
        <v/>
      </c>
      <c r="F403" s="3" t="n">
        <v>0.79</v>
      </c>
      <c r="G403" s="4">
        <f>F403/F$2*100</f>
        <v/>
      </c>
      <c r="H403" s="5">
        <f>AVERAGE(F374:F403)</f>
        <v/>
      </c>
      <c r="I403" s="5">
        <f>SLOPE(F$2:F$731,$A$2:$A$731)*$A403+INTERCEPT(F$2:F$731,$A$2:$A$731)</f>
        <v/>
      </c>
      <c r="J403" s="6" t="inlineStr"/>
    </row>
    <row r="404">
      <c r="A404" s="2" t="n">
        <v>45694</v>
      </c>
      <c r="B404" s="3" t="n">
        <v>84.02</v>
      </c>
      <c r="C404" s="4">
        <f>B404/B$2*100</f>
        <v/>
      </c>
      <c r="D404" s="5">
        <f>AVERAGE(B375:B404)</f>
        <v/>
      </c>
      <c r="E404" s="5">
        <f>SLOPE(B$2:B$731,$A$2:$A$731)*$A404+INTERCEPT(B$2:B$731,$A$2:$A$731)</f>
        <v/>
      </c>
      <c r="F404" s="3" t="n">
        <v>0.79</v>
      </c>
      <c r="G404" s="4">
        <f>F404/F$2*100</f>
        <v/>
      </c>
      <c r="H404" s="5">
        <f>AVERAGE(F375:F404)</f>
        <v/>
      </c>
      <c r="I404" s="5">
        <f>SLOPE(F$2:F$731,$A$2:$A$731)*$A404+INTERCEPT(F$2:F$731,$A$2:$A$731)</f>
        <v/>
      </c>
      <c r="J404" s="6" t="inlineStr"/>
    </row>
    <row r="405">
      <c r="A405" s="2" t="n">
        <v>45695</v>
      </c>
      <c r="B405" s="3" t="n">
        <v>84.03</v>
      </c>
      <c r="C405" s="4">
        <f>B405/B$2*100</f>
        <v/>
      </c>
      <c r="D405" s="5">
        <f>AVERAGE(B376:B405)</f>
        <v/>
      </c>
      <c r="E405" s="5">
        <f>SLOPE(B$2:B$731,$A$2:$A$731)*$A405+INTERCEPT(B$2:B$731,$A$2:$A$731)</f>
        <v/>
      </c>
      <c r="F405" s="3" t="n">
        <v>0.79</v>
      </c>
      <c r="G405" s="4">
        <f>F405/F$2*100</f>
        <v/>
      </c>
      <c r="H405" s="5">
        <f>AVERAGE(F376:F405)</f>
        <v/>
      </c>
      <c r="I405" s="5">
        <f>SLOPE(F$2:F$731,$A$2:$A$731)*$A405+INTERCEPT(F$2:F$731,$A$2:$A$731)</f>
        <v/>
      </c>
      <c r="J405" s="6" t="inlineStr"/>
    </row>
    <row r="406">
      <c r="A406" s="2" t="n">
        <v>45696</v>
      </c>
      <c r="B406" s="3" t="n">
        <v>84.04000000000001</v>
      </c>
      <c r="C406" s="4">
        <f>B406/B$2*100</f>
        <v/>
      </c>
      <c r="D406" s="5">
        <f>AVERAGE(B377:B406)</f>
        <v/>
      </c>
      <c r="E406" s="5">
        <f>SLOPE(B$2:B$731,$A$2:$A$731)*$A406+INTERCEPT(B$2:B$731,$A$2:$A$731)</f>
        <v/>
      </c>
      <c r="F406" s="3" t="n">
        <v>0.79</v>
      </c>
      <c r="G406" s="4">
        <f>F406/F$2*100</f>
        <v/>
      </c>
      <c r="H406" s="5">
        <f>AVERAGE(F377:F406)</f>
        <v/>
      </c>
      <c r="I406" s="5">
        <f>SLOPE(F$2:F$731,$A$2:$A$731)*$A406+INTERCEPT(F$2:F$731,$A$2:$A$731)</f>
        <v/>
      </c>
      <c r="J406" s="6" t="inlineStr">
        <is>
          <t>yes</t>
        </is>
      </c>
    </row>
    <row r="407">
      <c r="A407" s="2" t="n">
        <v>45697</v>
      </c>
      <c r="B407" s="3" t="n">
        <v>84.05</v>
      </c>
      <c r="C407" s="4">
        <f>B407/B$2*100</f>
        <v/>
      </c>
      <c r="D407" s="5">
        <f>AVERAGE(B378:B407)</f>
        <v/>
      </c>
      <c r="E407" s="5">
        <f>SLOPE(B$2:B$731,$A$2:$A$731)*$A407+INTERCEPT(B$2:B$731,$A$2:$A$731)</f>
        <v/>
      </c>
      <c r="F407" s="3" t="n">
        <v>0.79</v>
      </c>
      <c r="G407" s="4">
        <f>F407/F$2*100</f>
        <v/>
      </c>
      <c r="H407" s="5">
        <f>AVERAGE(F378:F407)</f>
        <v/>
      </c>
      <c r="I407" s="5">
        <f>SLOPE(F$2:F$731,$A$2:$A$731)*$A407+INTERCEPT(F$2:F$731,$A$2:$A$731)</f>
        <v/>
      </c>
      <c r="J407" s="6" t="inlineStr">
        <is>
          <t>yes</t>
        </is>
      </c>
    </row>
    <row r="408">
      <c r="A408" s="2" t="n">
        <v>45698</v>
      </c>
      <c r="B408" s="3" t="n">
        <v>84.06</v>
      </c>
      <c r="C408" s="4">
        <f>B408/B$2*100</f>
        <v/>
      </c>
      <c r="D408" s="5">
        <f>AVERAGE(B379:B408)</f>
        <v/>
      </c>
      <c r="E408" s="5">
        <f>SLOPE(B$2:B$731,$A$2:$A$731)*$A408+INTERCEPT(B$2:B$731,$A$2:$A$731)</f>
        <v/>
      </c>
      <c r="F408" s="3" t="n">
        <v>0.79</v>
      </c>
      <c r="G408" s="4">
        <f>F408/F$2*100</f>
        <v/>
      </c>
      <c r="H408" s="5">
        <f>AVERAGE(F379:F408)</f>
        <v/>
      </c>
      <c r="I408" s="5">
        <f>SLOPE(F$2:F$731,$A$2:$A$731)*$A408+INTERCEPT(F$2:F$731,$A$2:$A$731)</f>
        <v/>
      </c>
      <c r="J408" s="6" t="inlineStr"/>
    </row>
    <row r="409">
      <c r="A409" s="2" t="n">
        <v>45699</v>
      </c>
      <c r="B409" s="3" t="n">
        <v>84.06999999999999</v>
      </c>
      <c r="C409" s="4">
        <f>B409/B$2*100</f>
        <v/>
      </c>
      <c r="D409" s="5">
        <f>AVERAGE(B380:B409)</f>
        <v/>
      </c>
      <c r="E409" s="5">
        <f>SLOPE(B$2:B$731,$A$2:$A$731)*$A409+INTERCEPT(B$2:B$731,$A$2:$A$731)</f>
        <v/>
      </c>
      <c r="F409" s="3" t="n">
        <v>0.79</v>
      </c>
      <c r="G409" s="4">
        <f>F409/F$2*100</f>
        <v/>
      </c>
      <c r="H409" s="5">
        <f>AVERAGE(F380:F409)</f>
        <v/>
      </c>
      <c r="I409" s="5">
        <f>SLOPE(F$2:F$731,$A$2:$A$731)*$A409+INTERCEPT(F$2:F$731,$A$2:$A$731)</f>
        <v/>
      </c>
      <c r="J409" s="6" t="inlineStr"/>
    </row>
    <row r="410">
      <c r="A410" s="2" t="n">
        <v>45700</v>
      </c>
      <c r="B410" s="3" t="n">
        <v>84.08</v>
      </c>
      <c r="C410" s="4">
        <f>B410/B$2*100</f>
        <v/>
      </c>
      <c r="D410" s="5">
        <f>AVERAGE(B381:B410)</f>
        <v/>
      </c>
      <c r="E410" s="5">
        <f>SLOPE(B$2:B$731,$A$2:$A$731)*$A410+INTERCEPT(B$2:B$731,$A$2:$A$731)</f>
        <v/>
      </c>
      <c r="F410" s="3" t="n">
        <v>0.79</v>
      </c>
      <c r="G410" s="4">
        <f>F410/F$2*100</f>
        <v/>
      </c>
      <c r="H410" s="5">
        <f>AVERAGE(F381:F410)</f>
        <v/>
      </c>
      <c r="I410" s="5">
        <f>SLOPE(F$2:F$731,$A$2:$A$731)*$A410+INTERCEPT(F$2:F$731,$A$2:$A$731)</f>
        <v/>
      </c>
      <c r="J410" s="6" t="inlineStr"/>
    </row>
    <row r="411">
      <c r="A411" s="2" t="n">
        <v>45701</v>
      </c>
      <c r="B411" s="3" t="n">
        <v>84.09</v>
      </c>
      <c r="C411" s="4">
        <f>B411/B$2*100</f>
        <v/>
      </c>
      <c r="D411" s="5">
        <f>AVERAGE(B382:B411)</f>
        <v/>
      </c>
      <c r="E411" s="5">
        <f>SLOPE(B$2:B$731,$A$2:$A$731)*$A411+INTERCEPT(B$2:B$731,$A$2:$A$731)</f>
        <v/>
      </c>
      <c r="F411" s="3" t="n">
        <v>0.79</v>
      </c>
      <c r="G411" s="4">
        <f>F411/F$2*100</f>
        <v/>
      </c>
      <c r="H411" s="5">
        <f>AVERAGE(F382:F411)</f>
        <v/>
      </c>
      <c r="I411" s="5">
        <f>SLOPE(F$2:F$731,$A$2:$A$731)*$A411+INTERCEPT(F$2:F$731,$A$2:$A$731)</f>
        <v/>
      </c>
      <c r="J411" s="6" t="inlineStr"/>
    </row>
    <row r="412">
      <c r="A412" s="2" t="n">
        <v>45702</v>
      </c>
      <c r="B412" s="3" t="n">
        <v>84.09999999999999</v>
      </c>
      <c r="C412" s="4">
        <f>B412/B$2*100</f>
        <v/>
      </c>
      <c r="D412" s="5">
        <f>AVERAGE(B383:B412)</f>
        <v/>
      </c>
      <c r="E412" s="5">
        <f>SLOPE(B$2:B$731,$A$2:$A$731)*$A412+INTERCEPT(B$2:B$731,$A$2:$A$731)</f>
        <v/>
      </c>
      <c r="F412" s="3" t="n">
        <v>0.79</v>
      </c>
      <c r="G412" s="4">
        <f>F412/F$2*100</f>
        <v/>
      </c>
      <c r="H412" s="5">
        <f>AVERAGE(F383:F412)</f>
        <v/>
      </c>
      <c r="I412" s="5">
        <f>SLOPE(F$2:F$731,$A$2:$A$731)*$A412+INTERCEPT(F$2:F$731,$A$2:$A$731)</f>
        <v/>
      </c>
      <c r="J412" s="6" t="inlineStr"/>
    </row>
    <row r="413">
      <c r="A413" s="2" t="n">
        <v>45703</v>
      </c>
      <c r="B413" s="3" t="n">
        <v>84.11</v>
      </c>
      <c r="C413" s="4">
        <f>B413/B$2*100</f>
        <v/>
      </c>
      <c r="D413" s="5">
        <f>AVERAGE(B384:B413)</f>
        <v/>
      </c>
      <c r="E413" s="5">
        <f>SLOPE(B$2:B$731,$A$2:$A$731)*$A413+INTERCEPT(B$2:B$731,$A$2:$A$731)</f>
        <v/>
      </c>
      <c r="F413" s="3" t="n">
        <v>0.79</v>
      </c>
      <c r="G413" s="4">
        <f>F413/F$2*100</f>
        <v/>
      </c>
      <c r="H413" s="5">
        <f>AVERAGE(F384:F413)</f>
        <v/>
      </c>
      <c r="I413" s="5">
        <f>SLOPE(F$2:F$731,$A$2:$A$731)*$A413+INTERCEPT(F$2:F$731,$A$2:$A$731)</f>
        <v/>
      </c>
      <c r="J413" s="6" t="inlineStr">
        <is>
          <t>yes</t>
        </is>
      </c>
    </row>
    <row r="414">
      <c r="A414" s="2" t="n">
        <v>45704</v>
      </c>
      <c r="B414" s="3" t="n">
        <v>84.12</v>
      </c>
      <c r="C414" s="4">
        <f>B414/B$2*100</f>
        <v/>
      </c>
      <c r="D414" s="5">
        <f>AVERAGE(B385:B414)</f>
        <v/>
      </c>
      <c r="E414" s="5">
        <f>SLOPE(B$2:B$731,$A$2:$A$731)*$A414+INTERCEPT(B$2:B$731,$A$2:$A$731)</f>
        <v/>
      </c>
      <c r="F414" s="3" t="n">
        <v>0.79</v>
      </c>
      <c r="G414" s="4">
        <f>F414/F$2*100</f>
        <v/>
      </c>
      <c r="H414" s="5">
        <f>AVERAGE(F385:F414)</f>
        <v/>
      </c>
      <c r="I414" s="5">
        <f>SLOPE(F$2:F$731,$A$2:$A$731)*$A414+INTERCEPT(F$2:F$731,$A$2:$A$731)</f>
        <v/>
      </c>
      <c r="J414" s="6" t="inlineStr">
        <is>
          <t>yes</t>
        </is>
      </c>
    </row>
    <row r="415">
      <c r="A415" s="2" t="n">
        <v>45705</v>
      </c>
      <c r="B415" s="3" t="n">
        <v>84.13</v>
      </c>
      <c r="C415" s="4">
        <f>B415/B$2*100</f>
        <v/>
      </c>
      <c r="D415" s="5">
        <f>AVERAGE(B386:B415)</f>
        <v/>
      </c>
      <c r="E415" s="5">
        <f>SLOPE(B$2:B$731,$A$2:$A$731)*$A415+INTERCEPT(B$2:B$731,$A$2:$A$731)</f>
        <v/>
      </c>
      <c r="F415" s="3" t="n">
        <v>0.79</v>
      </c>
      <c r="G415" s="4">
        <f>F415/F$2*100</f>
        <v/>
      </c>
      <c r="H415" s="5">
        <f>AVERAGE(F386:F415)</f>
        <v/>
      </c>
      <c r="I415" s="5">
        <f>SLOPE(F$2:F$731,$A$2:$A$731)*$A415+INTERCEPT(F$2:F$731,$A$2:$A$731)</f>
        <v/>
      </c>
      <c r="J415" s="6" t="inlineStr"/>
    </row>
    <row r="416">
      <c r="A416" s="2" t="n">
        <v>45706</v>
      </c>
      <c r="B416" s="3" t="n">
        <v>84.14</v>
      </c>
      <c r="C416" s="4">
        <f>B416/B$2*100</f>
        <v/>
      </c>
      <c r="D416" s="5">
        <f>AVERAGE(B387:B416)</f>
        <v/>
      </c>
      <c r="E416" s="5">
        <f>SLOPE(B$2:B$731,$A$2:$A$731)*$A416+INTERCEPT(B$2:B$731,$A$2:$A$731)</f>
        <v/>
      </c>
      <c r="F416" s="3" t="n">
        <v>0.79</v>
      </c>
      <c r="G416" s="4">
        <f>F416/F$2*100</f>
        <v/>
      </c>
      <c r="H416" s="5">
        <f>AVERAGE(F387:F416)</f>
        <v/>
      </c>
      <c r="I416" s="5">
        <f>SLOPE(F$2:F$731,$A$2:$A$731)*$A416+INTERCEPT(F$2:F$731,$A$2:$A$731)</f>
        <v/>
      </c>
      <c r="J416" s="6" t="inlineStr"/>
    </row>
    <row r="417">
      <c r="A417" s="2" t="n">
        <v>45707</v>
      </c>
      <c r="B417" s="3" t="n">
        <v>84.15000000000001</v>
      </c>
      <c r="C417" s="4">
        <f>B417/B$2*100</f>
        <v/>
      </c>
      <c r="D417" s="5">
        <f>AVERAGE(B388:B417)</f>
        <v/>
      </c>
      <c r="E417" s="5">
        <f>SLOPE(B$2:B$731,$A$2:$A$731)*$A417+INTERCEPT(B$2:B$731,$A$2:$A$731)</f>
        <v/>
      </c>
      <c r="F417" s="3" t="n">
        <v>0.79</v>
      </c>
      <c r="G417" s="4">
        <f>F417/F$2*100</f>
        <v/>
      </c>
      <c r="H417" s="5">
        <f>AVERAGE(F388:F417)</f>
        <v/>
      </c>
      <c r="I417" s="5">
        <f>SLOPE(F$2:F$731,$A$2:$A$731)*$A417+INTERCEPT(F$2:F$731,$A$2:$A$731)</f>
        <v/>
      </c>
      <c r="J417" s="6" t="inlineStr"/>
    </row>
    <row r="418">
      <c r="A418" s="2" t="n">
        <v>45708</v>
      </c>
      <c r="B418" s="3" t="n">
        <v>84.16</v>
      </c>
      <c r="C418" s="4">
        <f>B418/B$2*100</f>
        <v/>
      </c>
      <c r="D418" s="5">
        <f>AVERAGE(B389:B418)</f>
        <v/>
      </c>
      <c r="E418" s="5">
        <f>SLOPE(B$2:B$731,$A$2:$A$731)*$A418+INTERCEPT(B$2:B$731,$A$2:$A$731)</f>
        <v/>
      </c>
      <c r="F418" s="3" t="n">
        <v>0.79</v>
      </c>
      <c r="G418" s="4">
        <f>F418/F$2*100</f>
        <v/>
      </c>
      <c r="H418" s="5">
        <f>AVERAGE(F389:F418)</f>
        <v/>
      </c>
      <c r="I418" s="5">
        <f>SLOPE(F$2:F$731,$A$2:$A$731)*$A418+INTERCEPT(F$2:F$731,$A$2:$A$731)</f>
        <v/>
      </c>
      <c r="J418" s="6" t="inlineStr"/>
    </row>
    <row r="419">
      <c r="A419" s="2" t="n">
        <v>45709</v>
      </c>
      <c r="B419" s="3" t="n">
        <v>84.17</v>
      </c>
      <c r="C419" s="4">
        <f>B419/B$2*100</f>
        <v/>
      </c>
      <c r="D419" s="5">
        <f>AVERAGE(B390:B419)</f>
        <v/>
      </c>
      <c r="E419" s="5">
        <f>SLOPE(B$2:B$731,$A$2:$A$731)*$A419+INTERCEPT(B$2:B$731,$A$2:$A$731)</f>
        <v/>
      </c>
      <c r="F419" s="3" t="n">
        <v>0.79</v>
      </c>
      <c r="G419" s="4">
        <f>F419/F$2*100</f>
        <v/>
      </c>
      <c r="H419" s="5">
        <f>AVERAGE(F390:F419)</f>
        <v/>
      </c>
      <c r="I419" s="5">
        <f>SLOPE(F$2:F$731,$A$2:$A$731)*$A419+INTERCEPT(F$2:F$731,$A$2:$A$731)</f>
        <v/>
      </c>
      <c r="J419" s="6" t="inlineStr"/>
    </row>
    <row r="420">
      <c r="A420" s="2" t="n">
        <v>45710</v>
      </c>
      <c r="B420" s="3" t="n">
        <v>84.18000000000001</v>
      </c>
      <c r="C420" s="4">
        <f>B420/B$2*100</f>
        <v/>
      </c>
      <c r="D420" s="5">
        <f>AVERAGE(B391:B420)</f>
        <v/>
      </c>
      <c r="E420" s="5">
        <f>SLOPE(B$2:B$731,$A$2:$A$731)*$A420+INTERCEPT(B$2:B$731,$A$2:$A$731)</f>
        <v/>
      </c>
      <c r="F420" s="3" t="n">
        <v>0.79</v>
      </c>
      <c r="G420" s="4">
        <f>F420/F$2*100</f>
        <v/>
      </c>
      <c r="H420" s="5">
        <f>AVERAGE(F391:F420)</f>
        <v/>
      </c>
      <c r="I420" s="5">
        <f>SLOPE(F$2:F$731,$A$2:$A$731)*$A420+INTERCEPT(F$2:F$731,$A$2:$A$731)</f>
        <v/>
      </c>
      <c r="J420" s="6" t="inlineStr">
        <is>
          <t>yes</t>
        </is>
      </c>
    </row>
    <row r="421">
      <c r="A421" s="2" t="n">
        <v>45711</v>
      </c>
      <c r="B421" s="3" t="n">
        <v>84.19</v>
      </c>
      <c r="C421" s="4">
        <f>B421/B$2*100</f>
        <v/>
      </c>
      <c r="D421" s="5">
        <f>AVERAGE(B392:B421)</f>
        <v/>
      </c>
      <c r="E421" s="5">
        <f>SLOPE(B$2:B$731,$A$2:$A$731)*$A421+INTERCEPT(B$2:B$731,$A$2:$A$731)</f>
        <v/>
      </c>
      <c r="F421" s="3" t="n">
        <v>0.79</v>
      </c>
      <c r="G421" s="4">
        <f>F421/F$2*100</f>
        <v/>
      </c>
      <c r="H421" s="5">
        <f>AVERAGE(F392:F421)</f>
        <v/>
      </c>
      <c r="I421" s="5">
        <f>SLOPE(F$2:F$731,$A$2:$A$731)*$A421+INTERCEPT(F$2:F$731,$A$2:$A$731)</f>
        <v/>
      </c>
      <c r="J421" s="6" t="inlineStr">
        <is>
          <t>yes</t>
        </is>
      </c>
    </row>
    <row r="422">
      <c r="A422" s="2" t="n">
        <v>45712</v>
      </c>
      <c r="B422" s="3" t="n">
        <v>84.2</v>
      </c>
      <c r="C422" s="4">
        <f>B422/B$2*100</f>
        <v/>
      </c>
      <c r="D422" s="5">
        <f>AVERAGE(B393:B422)</f>
        <v/>
      </c>
      <c r="E422" s="5">
        <f>SLOPE(B$2:B$731,$A$2:$A$731)*$A422+INTERCEPT(B$2:B$731,$A$2:$A$731)</f>
        <v/>
      </c>
      <c r="F422" s="3" t="n">
        <v>0.79</v>
      </c>
      <c r="G422" s="4">
        <f>F422/F$2*100</f>
        <v/>
      </c>
      <c r="H422" s="5">
        <f>AVERAGE(F393:F422)</f>
        <v/>
      </c>
      <c r="I422" s="5">
        <f>SLOPE(F$2:F$731,$A$2:$A$731)*$A422+INTERCEPT(F$2:F$731,$A$2:$A$731)</f>
        <v/>
      </c>
      <c r="J422" s="6" t="inlineStr"/>
    </row>
    <row r="423">
      <c r="A423" s="2" t="n">
        <v>45713</v>
      </c>
      <c r="B423" s="3" t="n">
        <v>84.20999999999999</v>
      </c>
      <c r="C423" s="4">
        <f>B423/B$2*100</f>
        <v/>
      </c>
      <c r="D423" s="5">
        <f>AVERAGE(B394:B423)</f>
        <v/>
      </c>
      <c r="E423" s="5">
        <f>SLOPE(B$2:B$731,$A$2:$A$731)*$A423+INTERCEPT(B$2:B$731,$A$2:$A$731)</f>
        <v/>
      </c>
      <c r="F423" s="3" t="n">
        <v>0.79</v>
      </c>
      <c r="G423" s="4">
        <f>F423/F$2*100</f>
        <v/>
      </c>
      <c r="H423" s="5">
        <f>AVERAGE(F394:F423)</f>
        <v/>
      </c>
      <c r="I423" s="5">
        <f>SLOPE(F$2:F$731,$A$2:$A$731)*$A423+INTERCEPT(F$2:F$731,$A$2:$A$731)</f>
        <v/>
      </c>
      <c r="J423" s="6" t="inlineStr"/>
    </row>
    <row r="424">
      <c r="A424" s="2" t="n">
        <v>45714</v>
      </c>
      <c r="B424" s="3" t="n">
        <v>84.22</v>
      </c>
      <c r="C424" s="4">
        <f>B424/B$2*100</f>
        <v/>
      </c>
      <c r="D424" s="5">
        <f>AVERAGE(B395:B424)</f>
        <v/>
      </c>
      <c r="E424" s="5">
        <f>SLOPE(B$2:B$731,$A$2:$A$731)*$A424+INTERCEPT(B$2:B$731,$A$2:$A$731)</f>
        <v/>
      </c>
      <c r="F424" s="3" t="n">
        <v>0.79</v>
      </c>
      <c r="G424" s="4">
        <f>F424/F$2*100</f>
        <v/>
      </c>
      <c r="H424" s="5">
        <f>AVERAGE(F395:F424)</f>
        <v/>
      </c>
      <c r="I424" s="5">
        <f>SLOPE(F$2:F$731,$A$2:$A$731)*$A424+INTERCEPT(F$2:F$731,$A$2:$A$731)</f>
        <v/>
      </c>
      <c r="J424" s="6" t="inlineStr"/>
    </row>
    <row r="425">
      <c r="A425" s="2" t="n">
        <v>45715</v>
      </c>
      <c r="B425" s="3" t="n">
        <v>84.23</v>
      </c>
      <c r="C425" s="4">
        <f>B425/B$2*100</f>
        <v/>
      </c>
      <c r="D425" s="5">
        <f>AVERAGE(B396:B425)</f>
        <v/>
      </c>
      <c r="E425" s="5">
        <f>SLOPE(B$2:B$731,$A$2:$A$731)*$A425+INTERCEPT(B$2:B$731,$A$2:$A$731)</f>
        <v/>
      </c>
      <c r="F425" s="3" t="n">
        <v>0.79</v>
      </c>
      <c r="G425" s="4">
        <f>F425/F$2*100</f>
        <v/>
      </c>
      <c r="H425" s="5">
        <f>AVERAGE(F396:F425)</f>
        <v/>
      </c>
      <c r="I425" s="5">
        <f>SLOPE(F$2:F$731,$A$2:$A$731)*$A425+INTERCEPT(F$2:F$731,$A$2:$A$731)</f>
        <v/>
      </c>
      <c r="J425" s="6" t="inlineStr"/>
    </row>
    <row r="426">
      <c r="A426" s="2" t="n">
        <v>45716</v>
      </c>
      <c r="B426" s="3" t="n">
        <v>84.23999999999999</v>
      </c>
      <c r="C426" s="4">
        <f>B426/B$2*100</f>
        <v/>
      </c>
      <c r="D426" s="5">
        <f>AVERAGE(B397:B426)</f>
        <v/>
      </c>
      <c r="E426" s="5">
        <f>SLOPE(B$2:B$731,$A$2:$A$731)*$A426+INTERCEPT(B$2:B$731,$A$2:$A$731)</f>
        <v/>
      </c>
      <c r="F426" s="3" t="n">
        <v>0.79</v>
      </c>
      <c r="G426" s="4">
        <f>F426/F$2*100</f>
        <v/>
      </c>
      <c r="H426" s="5">
        <f>AVERAGE(F397:F426)</f>
        <v/>
      </c>
      <c r="I426" s="5">
        <f>SLOPE(F$2:F$731,$A$2:$A$731)*$A426+INTERCEPT(F$2:F$731,$A$2:$A$731)</f>
        <v/>
      </c>
      <c r="J426" s="6" t="inlineStr"/>
    </row>
    <row r="427">
      <c r="A427" s="2" t="n">
        <v>45717</v>
      </c>
      <c r="B427" s="3" t="n">
        <v>84.25</v>
      </c>
      <c r="C427" s="4">
        <f>B427/B$2*100</f>
        <v/>
      </c>
      <c r="D427" s="5">
        <f>AVERAGE(B398:B427)</f>
        <v/>
      </c>
      <c r="E427" s="5">
        <f>SLOPE(B$2:B$731,$A$2:$A$731)*$A427+INTERCEPT(B$2:B$731,$A$2:$A$731)</f>
        <v/>
      </c>
      <c r="F427" s="3" t="n">
        <v>0.79</v>
      </c>
      <c r="G427" s="4">
        <f>F427/F$2*100</f>
        <v/>
      </c>
      <c r="H427" s="5">
        <f>AVERAGE(F398:F427)</f>
        <v/>
      </c>
      <c r="I427" s="5">
        <f>SLOPE(F$2:F$731,$A$2:$A$731)*$A427+INTERCEPT(F$2:F$731,$A$2:$A$731)</f>
        <v/>
      </c>
      <c r="J427" s="6" t="inlineStr">
        <is>
          <t>yes</t>
        </is>
      </c>
    </row>
    <row r="428">
      <c r="A428" s="2" t="n">
        <v>45718</v>
      </c>
      <c r="B428" s="3" t="n">
        <v>84.26000000000001</v>
      </c>
      <c r="C428" s="4">
        <f>B428/B$2*100</f>
        <v/>
      </c>
      <c r="D428" s="5">
        <f>AVERAGE(B399:B428)</f>
        <v/>
      </c>
      <c r="E428" s="5">
        <f>SLOPE(B$2:B$731,$A$2:$A$731)*$A428+INTERCEPT(B$2:B$731,$A$2:$A$731)</f>
        <v/>
      </c>
      <c r="F428" s="3" t="n">
        <v>0.79</v>
      </c>
      <c r="G428" s="4">
        <f>F428/F$2*100</f>
        <v/>
      </c>
      <c r="H428" s="5">
        <f>AVERAGE(F399:F428)</f>
        <v/>
      </c>
      <c r="I428" s="5">
        <f>SLOPE(F$2:F$731,$A$2:$A$731)*$A428+INTERCEPT(F$2:F$731,$A$2:$A$731)</f>
        <v/>
      </c>
      <c r="J428" s="6" t="inlineStr">
        <is>
          <t>yes</t>
        </is>
      </c>
    </row>
    <row r="429">
      <c r="A429" s="2" t="n">
        <v>45719</v>
      </c>
      <c r="B429" s="3" t="n">
        <v>84.27</v>
      </c>
      <c r="C429" s="4">
        <f>B429/B$2*100</f>
        <v/>
      </c>
      <c r="D429" s="5">
        <f>AVERAGE(B400:B429)</f>
        <v/>
      </c>
      <c r="E429" s="5">
        <f>SLOPE(B$2:B$731,$A$2:$A$731)*$A429+INTERCEPT(B$2:B$731,$A$2:$A$731)</f>
        <v/>
      </c>
      <c r="F429" s="3" t="n">
        <v>0.79</v>
      </c>
      <c r="G429" s="4">
        <f>F429/F$2*100</f>
        <v/>
      </c>
      <c r="H429" s="5">
        <f>AVERAGE(F400:F429)</f>
        <v/>
      </c>
      <c r="I429" s="5">
        <f>SLOPE(F$2:F$731,$A$2:$A$731)*$A429+INTERCEPT(F$2:F$731,$A$2:$A$731)</f>
        <v/>
      </c>
      <c r="J429" s="6" t="inlineStr"/>
    </row>
    <row r="430">
      <c r="A430" s="2" t="n">
        <v>45720</v>
      </c>
      <c r="B430" s="3" t="n">
        <v>84.28</v>
      </c>
      <c r="C430" s="4">
        <f>B430/B$2*100</f>
        <v/>
      </c>
      <c r="D430" s="5">
        <f>AVERAGE(B401:B430)</f>
        <v/>
      </c>
      <c r="E430" s="5">
        <f>SLOPE(B$2:B$731,$A$2:$A$731)*$A430+INTERCEPT(B$2:B$731,$A$2:$A$731)</f>
        <v/>
      </c>
      <c r="F430" s="3" t="n">
        <v>0.79</v>
      </c>
      <c r="G430" s="4">
        <f>F430/F$2*100</f>
        <v/>
      </c>
      <c r="H430" s="5">
        <f>AVERAGE(F401:F430)</f>
        <v/>
      </c>
      <c r="I430" s="5">
        <f>SLOPE(F$2:F$731,$A$2:$A$731)*$A430+INTERCEPT(F$2:F$731,$A$2:$A$731)</f>
        <v/>
      </c>
      <c r="J430" s="6" t="inlineStr"/>
    </row>
    <row r="431">
      <c r="A431" s="2" t="n">
        <v>45721</v>
      </c>
      <c r="B431" s="3" t="n">
        <v>84.29000000000001</v>
      </c>
      <c r="C431" s="4">
        <f>B431/B$2*100</f>
        <v/>
      </c>
      <c r="D431" s="5">
        <f>AVERAGE(B402:B431)</f>
        <v/>
      </c>
      <c r="E431" s="5">
        <f>SLOPE(B$2:B$731,$A$2:$A$731)*$A431+INTERCEPT(B$2:B$731,$A$2:$A$731)</f>
        <v/>
      </c>
      <c r="F431" s="3" t="n">
        <v>0.79</v>
      </c>
      <c r="G431" s="4">
        <f>F431/F$2*100</f>
        <v/>
      </c>
      <c r="H431" s="5">
        <f>AVERAGE(F402:F431)</f>
        <v/>
      </c>
      <c r="I431" s="5">
        <f>SLOPE(F$2:F$731,$A$2:$A$731)*$A431+INTERCEPT(F$2:F$731,$A$2:$A$731)</f>
        <v/>
      </c>
      <c r="J431" s="6" t="inlineStr"/>
    </row>
    <row r="432">
      <c r="A432" s="2" t="n">
        <v>45722</v>
      </c>
      <c r="B432" s="3" t="n">
        <v>84.3</v>
      </c>
      <c r="C432" s="4">
        <f>B432/B$2*100</f>
        <v/>
      </c>
      <c r="D432" s="5">
        <f>AVERAGE(B403:B432)</f>
        <v/>
      </c>
      <c r="E432" s="5">
        <f>SLOPE(B$2:B$731,$A$2:$A$731)*$A432+INTERCEPT(B$2:B$731,$A$2:$A$731)</f>
        <v/>
      </c>
      <c r="F432" s="3" t="n">
        <v>0.79</v>
      </c>
      <c r="G432" s="4">
        <f>F432/F$2*100</f>
        <v/>
      </c>
      <c r="H432" s="5">
        <f>AVERAGE(F403:F432)</f>
        <v/>
      </c>
      <c r="I432" s="5">
        <f>SLOPE(F$2:F$731,$A$2:$A$731)*$A432+INTERCEPT(F$2:F$731,$A$2:$A$731)</f>
        <v/>
      </c>
      <c r="J432" s="6" t="inlineStr"/>
    </row>
    <row r="433">
      <c r="A433" s="2" t="n">
        <v>45723</v>
      </c>
      <c r="B433" s="3" t="n">
        <v>84.31</v>
      </c>
      <c r="C433" s="4">
        <f>B433/B$2*100</f>
        <v/>
      </c>
      <c r="D433" s="5">
        <f>AVERAGE(B404:B433)</f>
        <v/>
      </c>
      <c r="E433" s="5">
        <f>SLOPE(B$2:B$731,$A$2:$A$731)*$A433+INTERCEPT(B$2:B$731,$A$2:$A$731)</f>
        <v/>
      </c>
      <c r="F433" s="3" t="n">
        <v>0.79</v>
      </c>
      <c r="G433" s="4">
        <f>F433/F$2*100</f>
        <v/>
      </c>
      <c r="H433" s="5">
        <f>AVERAGE(F404:F433)</f>
        <v/>
      </c>
      <c r="I433" s="5">
        <f>SLOPE(F$2:F$731,$A$2:$A$731)*$A433+INTERCEPT(F$2:F$731,$A$2:$A$731)</f>
        <v/>
      </c>
      <c r="J433" s="6" t="inlineStr"/>
    </row>
    <row r="434">
      <c r="A434" s="2" t="n">
        <v>45724</v>
      </c>
      <c r="B434" s="3" t="n">
        <v>84.31999999999999</v>
      </c>
      <c r="C434" s="4">
        <f>B434/B$2*100</f>
        <v/>
      </c>
      <c r="D434" s="5">
        <f>AVERAGE(B405:B434)</f>
        <v/>
      </c>
      <c r="E434" s="5">
        <f>SLOPE(B$2:B$731,$A$2:$A$731)*$A434+INTERCEPT(B$2:B$731,$A$2:$A$731)</f>
        <v/>
      </c>
      <c r="F434" s="3" t="n">
        <v>0.79</v>
      </c>
      <c r="G434" s="4">
        <f>F434/F$2*100</f>
        <v/>
      </c>
      <c r="H434" s="5">
        <f>AVERAGE(F405:F434)</f>
        <v/>
      </c>
      <c r="I434" s="5">
        <f>SLOPE(F$2:F$731,$A$2:$A$731)*$A434+INTERCEPT(F$2:F$731,$A$2:$A$731)</f>
        <v/>
      </c>
      <c r="J434" s="6" t="inlineStr">
        <is>
          <t>yes</t>
        </is>
      </c>
    </row>
    <row r="435">
      <c r="A435" s="2" t="n">
        <v>45725</v>
      </c>
      <c r="B435" s="3" t="n">
        <v>84.33</v>
      </c>
      <c r="C435" s="4">
        <f>B435/B$2*100</f>
        <v/>
      </c>
      <c r="D435" s="5">
        <f>AVERAGE(B406:B435)</f>
        <v/>
      </c>
      <c r="E435" s="5">
        <f>SLOPE(B$2:B$731,$A$2:$A$731)*$A435+INTERCEPT(B$2:B$731,$A$2:$A$731)</f>
        <v/>
      </c>
      <c r="F435" s="3" t="n">
        <v>0.79</v>
      </c>
      <c r="G435" s="4">
        <f>F435/F$2*100</f>
        <v/>
      </c>
      <c r="H435" s="5">
        <f>AVERAGE(F406:F435)</f>
        <v/>
      </c>
      <c r="I435" s="5">
        <f>SLOPE(F$2:F$731,$A$2:$A$731)*$A435+INTERCEPT(F$2:F$731,$A$2:$A$731)</f>
        <v/>
      </c>
      <c r="J435" s="6" t="inlineStr">
        <is>
          <t>yes</t>
        </is>
      </c>
    </row>
    <row r="436">
      <c r="A436" s="2" t="n">
        <v>45726</v>
      </c>
      <c r="B436" s="3" t="n">
        <v>84.34</v>
      </c>
      <c r="C436" s="4">
        <f>B436/B$2*100</f>
        <v/>
      </c>
      <c r="D436" s="5">
        <f>AVERAGE(B407:B436)</f>
        <v/>
      </c>
      <c r="E436" s="5">
        <f>SLOPE(B$2:B$731,$A$2:$A$731)*$A436+INTERCEPT(B$2:B$731,$A$2:$A$731)</f>
        <v/>
      </c>
      <c r="F436" s="3" t="n">
        <v>0.79</v>
      </c>
      <c r="G436" s="4">
        <f>F436/F$2*100</f>
        <v/>
      </c>
      <c r="H436" s="5">
        <f>AVERAGE(F407:F436)</f>
        <v/>
      </c>
      <c r="I436" s="5">
        <f>SLOPE(F$2:F$731,$A$2:$A$731)*$A436+INTERCEPT(F$2:F$731,$A$2:$A$731)</f>
        <v/>
      </c>
      <c r="J436" s="6" t="inlineStr"/>
    </row>
    <row r="437">
      <c r="A437" s="2" t="n">
        <v>45727</v>
      </c>
      <c r="B437" s="3" t="n">
        <v>84.34999999999999</v>
      </c>
      <c r="C437" s="4">
        <f>B437/B$2*100</f>
        <v/>
      </c>
      <c r="D437" s="5">
        <f>AVERAGE(B408:B437)</f>
        <v/>
      </c>
      <c r="E437" s="5">
        <f>SLOPE(B$2:B$731,$A$2:$A$731)*$A437+INTERCEPT(B$2:B$731,$A$2:$A$731)</f>
        <v/>
      </c>
      <c r="F437" s="3" t="n">
        <v>0.79</v>
      </c>
      <c r="G437" s="4">
        <f>F437/F$2*100</f>
        <v/>
      </c>
      <c r="H437" s="5">
        <f>AVERAGE(F408:F437)</f>
        <v/>
      </c>
      <c r="I437" s="5">
        <f>SLOPE(F$2:F$731,$A$2:$A$731)*$A437+INTERCEPT(F$2:F$731,$A$2:$A$731)</f>
        <v/>
      </c>
      <c r="J437" s="6" t="inlineStr"/>
    </row>
    <row r="438">
      <c r="A438" s="2" t="n">
        <v>45728</v>
      </c>
      <c r="B438" s="3" t="n">
        <v>84.36</v>
      </c>
      <c r="C438" s="4">
        <f>B438/B$2*100</f>
        <v/>
      </c>
      <c r="D438" s="5">
        <f>AVERAGE(B409:B438)</f>
        <v/>
      </c>
      <c r="E438" s="5">
        <f>SLOPE(B$2:B$731,$A$2:$A$731)*$A438+INTERCEPT(B$2:B$731,$A$2:$A$731)</f>
        <v/>
      </c>
      <c r="F438" s="3" t="n">
        <v>0.79</v>
      </c>
      <c r="G438" s="4">
        <f>F438/F$2*100</f>
        <v/>
      </c>
      <c r="H438" s="5">
        <f>AVERAGE(F409:F438)</f>
        <v/>
      </c>
      <c r="I438" s="5">
        <f>SLOPE(F$2:F$731,$A$2:$A$731)*$A438+INTERCEPT(F$2:F$731,$A$2:$A$731)</f>
        <v/>
      </c>
      <c r="J438" s="6" t="inlineStr"/>
    </row>
    <row r="439">
      <c r="A439" s="2" t="n">
        <v>45729</v>
      </c>
      <c r="B439" s="3" t="n">
        <v>84.37</v>
      </c>
      <c r="C439" s="4">
        <f>B439/B$2*100</f>
        <v/>
      </c>
      <c r="D439" s="5">
        <f>AVERAGE(B410:B439)</f>
        <v/>
      </c>
      <c r="E439" s="5">
        <f>SLOPE(B$2:B$731,$A$2:$A$731)*$A439+INTERCEPT(B$2:B$731,$A$2:$A$731)</f>
        <v/>
      </c>
      <c r="F439" s="3" t="n">
        <v>0.79</v>
      </c>
      <c r="G439" s="4">
        <f>F439/F$2*100</f>
        <v/>
      </c>
      <c r="H439" s="5">
        <f>AVERAGE(F410:F439)</f>
        <v/>
      </c>
      <c r="I439" s="5">
        <f>SLOPE(F$2:F$731,$A$2:$A$731)*$A439+INTERCEPT(F$2:F$731,$A$2:$A$731)</f>
        <v/>
      </c>
      <c r="J439" s="6" t="inlineStr"/>
    </row>
    <row r="440">
      <c r="A440" s="2" t="n">
        <v>45730</v>
      </c>
      <c r="B440" s="3" t="n">
        <v>84.38</v>
      </c>
      <c r="C440" s="4">
        <f>B440/B$2*100</f>
        <v/>
      </c>
      <c r="D440" s="5">
        <f>AVERAGE(B411:B440)</f>
        <v/>
      </c>
      <c r="E440" s="5">
        <f>SLOPE(B$2:B$731,$A$2:$A$731)*$A440+INTERCEPT(B$2:B$731,$A$2:$A$731)</f>
        <v/>
      </c>
      <c r="F440" s="3" t="n">
        <v>0.79</v>
      </c>
      <c r="G440" s="4">
        <f>F440/F$2*100</f>
        <v/>
      </c>
      <c r="H440" s="5">
        <f>AVERAGE(F411:F440)</f>
        <v/>
      </c>
      <c r="I440" s="5">
        <f>SLOPE(F$2:F$731,$A$2:$A$731)*$A440+INTERCEPT(F$2:F$731,$A$2:$A$731)</f>
        <v/>
      </c>
      <c r="J440" s="6" t="inlineStr"/>
    </row>
    <row r="441">
      <c r="A441" s="2" t="n">
        <v>45731</v>
      </c>
      <c r="B441" s="3" t="n">
        <v>84.39</v>
      </c>
      <c r="C441" s="4">
        <f>B441/B$2*100</f>
        <v/>
      </c>
      <c r="D441" s="5">
        <f>AVERAGE(B412:B441)</f>
        <v/>
      </c>
      <c r="E441" s="5">
        <f>SLOPE(B$2:B$731,$A$2:$A$731)*$A441+INTERCEPT(B$2:B$731,$A$2:$A$731)</f>
        <v/>
      </c>
      <c r="F441" s="3" t="n">
        <v>0.79</v>
      </c>
      <c r="G441" s="4">
        <f>F441/F$2*100</f>
        <v/>
      </c>
      <c r="H441" s="5">
        <f>AVERAGE(F412:F441)</f>
        <v/>
      </c>
      <c r="I441" s="5">
        <f>SLOPE(F$2:F$731,$A$2:$A$731)*$A441+INTERCEPT(F$2:F$731,$A$2:$A$731)</f>
        <v/>
      </c>
      <c r="J441" s="6" t="inlineStr">
        <is>
          <t>yes</t>
        </is>
      </c>
    </row>
    <row r="442">
      <c r="A442" s="2" t="n">
        <v>45732</v>
      </c>
      <c r="B442" s="3" t="n">
        <v>84.40000000000001</v>
      </c>
      <c r="C442" s="4">
        <f>B442/B$2*100</f>
        <v/>
      </c>
      <c r="D442" s="5">
        <f>AVERAGE(B413:B442)</f>
        <v/>
      </c>
      <c r="E442" s="5">
        <f>SLOPE(B$2:B$731,$A$2:$A$731)*$A442+INTERCEPT(B$2:B$731,$A$2:$A$731)</f>
        <v/>
      </c>
      <c r="F442" s="3" t="n">
        <v>0.79</v>
      </c>
      <c r="G442" s="4">
        <f>F442/F$2*100</f>
        <v/>
      </c>
      <c r="H442" s="5">
        <f>AVERAGE(F413:F442)</f>
        <v/>
      </c>
      <c r="I442" s="5">
        <f>SLOPE(F$2:F$731,$A$2:$A$731)*$A442+INTERCEPT(F$2:F$731,$A$2:$A$731)</f>
        <v/>
      </c>
      <c r="J442" s="6" t="inlineStr">
        <is>
          <t>yes</t>
        </is>
      </c>
    </row>
    <row r="443">
      <c r="A443" s="2" t="n">
        <v>45733</v>
      </c>
      <c r="B443" s="3" t="n">
        <v>84.41</v>
      </c>
      <c r="C443" s="4">
        <f>B443/B$2*100</f>
        <v/>
      </c>
      <c r="D443" s="5">
        <f>AVERAGE(B414:B443)</f>
        <v/>
      </c>
      <c r="E443" s="5">
        <f>SLOPE(B$2:B$731,$A$2:$A$731)*$A443+INTERCEPT(B$2:B$731,$A$2:$A$731)</f>
        <v/>
      </c>
      <c r="F443" s="3" t="n">
        <v>0.79</v>
      </c>
      <c r="G443" s="4">
        <f>F443/F$2*100</f>
        <v/>
      </c>
      <c r="H443" s="5">
        <f>AVERAGE(F414:F443)</f>
        <v/>
      </c>
      <c r="I443" s="5">
        <f>SLOPE(F$2:F$731,$A$2:$A$731)*$A443+INTERCEPT(F$2:F$731,$A$2:$A$731)</f>
        <v/>
      </c>
      <c r="J443" s="6" t="inlineStr"/>
    </row>
    <row r="444">
      <c r="A444" s="2" t="n">
        <v>45734</v>
      </c>
      <c r="B444" s="3" t="n">
        <v>84.42</v>
      </c>
      <c r="C444" s="4">
        <f>B444/B$2*100</f>
        <v/>
      </c>
      <c r="D444" s="5">
        <f>AVERAGE(B415:B444)</f>
        <v/>
      </c>
      <c r="E444" s="5">
        <f>SLOPE(B$2:B$731,$A$2:$A$731)*$A444+INTERCEPT(B$2:B$731,$A$2:$A$731)</f>
        <v/>
      </c>
      <c r="F444" s="3" t="n">
        <v>0.79</v>
      </c>
      <c r="G444" s="4">
        <f>F444/F$2*100</f>
        <v/>
      </c>
      <c r="H444" s="5">
        <f>AVERAGE(F415:F444)</f>
        <v/>
      </c>
      <c r="I444" s="5">
        <f>SLOPE(F$2:F$731,$A$2:$A$731)*$A444+INTERCEPT(F$2:F$731,$A$2:$A$731)</f>
        <v/>
      </c>
      <c r="J444" s="6" t="inlineStr"/>
    </row>
    <row r="445">
      <c r="A445" s="2" t="n">
        <v>45735</v>
      </c>
      <c r="B445" s="3" t="n">
        <v>84.43000000000001</v>
      </c>
      <c r="C445" s="4">
        <f>B445/B$2*100</f>
        <v/>
      </c>
      <c r="D445" s="5">
        <f>AVERAGE(B416:B445)</f>
        <v/>
      </c>
      <c r="E445" s="5">
        <f>SLOPE(B$2:B$731,$A$2:$A$731)*$A445+INTERCEPT(B$2:B$731,$A$2:$A$731)</f>
        <v/>
      </c>
      <c r="F445" s="3" t="n">
        <v>0.79</v>
      </c>
      <c r="G445" s="4">
        <f>F445/F$2*100</f>
        <v/>
      </c>
      <c r="H445" s="5">
        <f>AVERAGE(F416:F445)</f>
        <v/>
      </c>
      <c r="I445" s="5">
        <f>SLOPE(F$2:F$731,$A$2:$A$731)*$A445+INTERCEPT(F$2:F$731,$A$2:$A$731)</f>
        <v/>
      </c>
      <c r="J445" s="6" t="inlineStr"/>
    </row>
    <row r="446">
      <c r="A446" s="2" t="n">
        <v>45736</v>
      </c>
      <c r="B446" s="3" t="n">
        <v>84.44</v>
      </c>
      <c r="C446" s="4">
        <f>B446/B$2*100</f>
        <v/>
      </c>
      <c r="D446" s="5">
        <f>AVERAGE(B417:B446)</f>
        <v/>
      </c>
      <c r="E446" s="5">
        <f>SLOPE(B$2:B$731,$A$2:$A$731)*$A446+INTERCEPT(B$2:B$731,$A$2:$A$731)</f>
        <v/>
      </c>
      <c r="F446" s="3" t="n">
        <v>0.79</v>
      </c>
      <c r="G446" s="4">
        <f>F446/F$2*100</f>
        <v/>
      </c>
      <c r="H446" s="5">
        <f>AVERAGE(F417:F446)</f>
        <v/>
      </c>
      <c r="I446" s="5">
        <f>SLOPE(F$2:F$731,$A$2:$A$731)*$A446+INTERCEPT(F$2:F$731,$A$2:$A$731)</f>
        <v/>
      </c>
      <c r="J446" s="6" t="inlineStr"/>
    </row>
    <row r="447">
      <c r="A447" s="2" t="n">
        <v>45737</v>
      </c>
      <c r="B447" s="3" t="n">
        <v>84.45</v>
      </c>
      <c r="C447" s="4">
        <f>B447/B$2*100</f>
        <v/>
      </c>
      <c r="D447" s="5">
        <f>AVERAGE(B418:B447)</f>
        <v/>
      </c>
      <c r="E447" s="5">
        <f>SLOPE(B$2:B$731,$A$2:$A$731)*$A447+INTERCEPT(B$2:B$731,$A$2:$A$731)</f>
        <v/>
      </c>
      <c r="F447" s="3" t="n">
        <v>0.79</v>
      </c>
      <c r="G447" s="4">
        <f>F447/F$2*100</f>
        <v/>
      </c>
      <c r="H447" s="5">
        <f>AVERAGE(F418:F447)</f>
        <v/>
      </c>
      <c r="I447" s="5">
        <f>SLOPE(F$2:F$731,$A$2:$A$731)*$A447+INTERCEPT(F$2:F$731,$A$2:$A$731)</f>
        <v/>
      </c>
      <c r="J447" s="6" t="inlineStr"/>
    </row>
    <row r="448">
      <c r="A448" s="2" t="n">
        <v>45738</v>
      </c>
      <c r="B448" s="3" t="n">
        <v>84.45999999999999</v>
      </c>
      <c r="C448" s="4">
        <f>B448/B$2*100</f>
        <v/>
      </c>
      <c r="D448" s="5">
        <f>AVERAGE(B419:B448)</f>
        <v/>
      </c>
      <c r="E448" s="5">
        <f>SLOPE(B$2:B$731,$A$2:$A$731)*$A448+INTERCEPT(B$2:B$731,$A$2:$A$731)</f>
        <v/>
      </c>
      <c r="F448" s="3" t="n">
        <v>0.79</v>
      </c>
      <c r="G448" s="4">
        <f>F448/F$2*100</f>
        <v/>
      </c>
      <c r="H448" s="5">
        <f>AVERAGE(F419:F448)</f>
        <v/>
      </c>
      <c r="I448" s="5">
        <f>SLOPE(F$2:F$731,$A$2:$A$731)*$A448+INTERCEPT(F$2:F$731,$A$2:$A$731)</f>
        <v/>
      </c>
      <c r="J448" s="6" t="inlineStr">
        <is>
          <t>yes</t>
        </is>
      </c>
    </row>
    <row r="449">
      <c r="A449" s="2" t="n">
        <v>45739</v>
      </c>
      <c r="B449" s="3" t="n">
        <v>84.47</v>
      </c>
      <c r="C449" s="4">
        <f>B449/B$2*100</f>
        <v/>
      </c>
      <c r="D449" s="5">
        <f>AVERAGE(B420:B449)</f>
        <v/>
      </c>
      <c r="E449" s="5">
        <f>SLOPE(B$2:B$731,$A$2:$A$731)*$A449+INTERCEPT(B$2:B$731,$A$2:$A$731)</f>
        <v/>
      </c>
      <c r="F449" s="3" t="n">
        <v>0.79</v>
      </c>
      <c r="G449" s="4">
        <f>F449/F$2*100</f>
        <v/>
      </c>
      <c r="H449" s="5">
        <f>AVERAGE(F420:F449)</f>
        <v/>
      </c>
      <c r="I449" s="5">
        <f>SLOPE(F$2:F$731,$A$2:$A$731)*$A449+INTERCEPT(F$2:F$731,$A$2:$A$731)</f>
        <v/>
      </c>
      <c r="J449" s="6" t="inlineStr">
        <is>
          <t>yes</t>
        </is>
      </c>
    </row>
    <row r="450">
      <c r="A450" s="2" t="n">
        <v>45740</v>
      </c>
      <c r="B450" s="3" t="n">
        <v>84.48</v>
      </c>
      <c r="C450" s="4">
        <f>B450/B$2*100</f>
        <v/>
      </c>
      <c r="D450" s="5">
        <f>AVERAGE(B421:B450)</f>
        <v/>
      </c>
      <c r="E450" s="5">
        <f>SLOPE(B$2:B$731,$A$2:$A$731)*$A450+INTERCEPT(B$2:B$731,$A$2:$A$731)</f>
        <v/>
      </c>
      <c r="F450" s="3" t="n">
        <v>0.79</v>
      </c>
      <c r="G450" s="4">
        <f>F450/F$2*100</f>
        <v/>
      </c>
      <c r="H450" s="5">
        <f>AVERAGE(F421:F450)</f>
        <v/>
      </c>
      <c r="I450" s="5">
        <f>SLOPE(F$2:F$731,$A$2:$A$731)*$A450+INTERCEPT(F$2:F$731,$A$2:$A$731)</f>
        <v/>
      </c>
      <c r="J450" s="6" t="inlineStr"/>
    </row>
    <row r="451">
      <c r="A451" s="2" t="n">
        <v>45741</v>
      </c>
      <c r="B451" s="3" t="n">
        <v>84.48999999999999</v>
      </c>
      <c r="C451" s="4">
        <f>B451/B$2*100</f>
        <v/>
      </c>
      <c r="D451" s="5">
        <f>AVERAGE(B422:B451)</f>
        <v/>
      </c>
      <c r="E451" s="5">
        <f>SLOPE(B$2:B$731,$A$2:$A$731)*$A451+INTERCEPT(B$2:B$731,$A$2:$A$731)</f>
        <v/>
      </c>
      <c r="F451" s="3" t="n">
        <v>0.79</v>
      </c>
      <c r="G451" s="4">
        <f>F451/F$2*100</f>
        <v/>
      </c>
      <c r="H451" s="5">
        <f>AVERAGE(F422:F451)</f>
        <v/>
      </c>
      <c r="I451" s="5">
        <f>SLOPE(F$2:F$731,$A$2:$A$731)*$A451+INTERCEPT(F$2:F$731,$A$2:$A$731)</f>
        <v/>
      </c>
      <c r="J451" s="6" t="inlineStr"/>
    </row>
    <row r="452">
      <c r="A452" s="2" t="n">
        <v>45742</v>
      </c>
      <c r="B452" s="3" t="n">
        <v>84.5</v>
      </c>
      <c r="C452" s="4">
        <f>B452/B$2*100</f>
        <v/>
      </c>
      <c r="D452" s="5">
        <f>AVERAGE(B423:B452)</f>
        <v/>
      </c>
      <c r="E452" s="5">
        <f>SLOPE(B$2:B$731,$A$2:$A$731)*$A452+INTERCEPT(B$2:B$731,$A$2:$A$731)</f>
        <v/>
      </c>
      <c r="F452" s="3" t="n">
        <v>0.79</v>
      </c>
      <c r="G452" s="4">
        <f>F452/F$2*100</f>
        <v/>
      </c>
      <c r="H452" s="5">
        <f>AVERAGE(F423:F452)</f>
        <v/>
      </c>
      <c r="I452" s="5">
        <f>SLOPE(F$2:F$731,$A$2:$A$731)*$A452+INTERCEPT(F$2:F$731,$A$2:$A$731)</f>
        <v/>
      </c>
      <c r="J452" s="6" t="inlineStr"/>
    </row>
    <row r="453">
      <c r="A453" s="2" t="n">
        <v>45743</v>
      </c>
      <c r="B453" s="3" t="n">
        <v>84.51000000000001</v>
      </c>
      <c r="C453" s="4">
        <f>B453/B$2*100</f>
        <v/>
      </c>
      <c r="D453" s="5">
        <f>AVERAGE(B424:B453)</f>
        <v/>
      </c>
      <c r="E453" s="5">
        <f>SLOPE(B$2:B$731,$A$2:$A$731)*$A453+INTERCEPT(B$2:B$731,$A$2:$A$731)</f>
        <v/>
      </c>
      <c r="F453" s="3" t="n">
        <v>0.79</v>
      </c>
      <c r="G453" s="4">
        <f>F453/F$2*100</f>
        <v/>
      </c>
      <c r="H453" s="5">
        <f>AVERAGE(F424:F453)</f>
        <v/>
      </c>
      <c r="I453" s="5">
        <f>SLOPE(F$2:F$731,$A$2:$A$731)*$A453+INTERCEPT(F$2:F$731,$A$2:$A$731)</f>
        <v/>
      </c>
      <c r="J453" s="6" t="inlineStr"/>
    </row>
    <row r="454">
      <c r="A454" s="2" t="n">
        <v>45744</v>
      </c>
      <c r="B454" s="3" t="n">
        <v>84.52</v>
      </c>
      <c r="C454" s="4">
        <f>B454/B$2*100</f>
        <v/>
      </c>
      <c r="D454" s="5">
        <f>AVERAGE(B425:B454)</f>
        <v/>
      </c>
      <c r="E454" s="5">
        <f>SLOPE(B$2:B$731,$A$2:$A$731)*$A454+INTERCEPT(B$2:B$731,$A$2:$A$731)</f>
        <v/>
      </c>
      <c r="F454" s="3" t="n">
        <v>0.79</v>
      </c>
      <c r="G454" s="4">
        <f>F454/F$2*100</f>
        <v/>
      </c>
      <c r="H454" s="5">
        <f>AVERAGE(F425:F454)</f>
        <v/>
      </c>
      <c r="I454" s="5">
        <f>SLOPE(F$2:F$731,$A$2:$A$731)*$A454+INTERCEPT(F$2:F$731,$A$2:$A$731)</f>
        <v/>
      </c>
      <c r="J454" s="6" t="inlineStr"/>
    </row>
    <row r="455">
      <c r="A455" s="2" t="n">
        <v>45745</v>
      </c>
      <c r="B455" s="3" t="n">
        <v>84.53</v>
      </c>
      <c r="C455" s="4">
        <f>B455/B$2*100</f>
        <v/>
      </c>
      <c r="D455" s="5">
        <f>AVERAGE(B426:B455)</f>
        <v/>
      </c>
      <c r="E455" s="5">
        <f>SLOPE(B$2:B$731,$A$2:$A$731)*$A455+INTERCEPT(B$2:B$731,$A$2:$A$731)</f>
        <v/>
      </c>
      <c r="F455" s="3" t="n">
        <v>0.79</v>
      </c>
      <c r="G455" s="4">
        <f>F455/F$2*100</f>
        <v/>
      </c>
      <c r="H455" s="5">
        <f>AVERAGE(F426:F455)</f>
        <v/>
      </c>
      <c r="I455" s="5">
        <f>SLOPE(F$2:F$731,$A$2:$A$731)*$A455+INTERCEPT(F$2:F$731,$A$2:$A$731)</f>
        <v/>
      </c>
      <c r="J455" s="6" t="inlineStr">
        <is>
          <t>yes</t>
        </is>
      </c>
    </row>
    <row r="456">
      <c r="A456" s="2" t="n">
        <v>45746</v>
      </c>
      <c r="B456" s="3" t="n">
        <v>84.54000000000001</v>
      </c>
      <c r="C456" s="4">
        <f>B456/B$2*100</f>
        <v/>
      </c>
      <c r="D456" s="5">
        <f>AVERAGE(B427:B456)</f>
        <v/>
      </c>
      <c r="E456" s="5">
        <f>SLOPE(B$2:B$731,$A$2:$A$731)*$A456+INTERCEPT(B$2:B$731,$A$2:$A$731)</f>
        <v/>
      </c>
      <c r="F456" s="3" t="n">
        <v>0.79</v>
      </c>
      <c r="G456" s="4">
        <f>F456/F$2*100</f>
        <v/>
      </c>
      <c r="H456" s="5">
        <f>AVERAGE(F427:F456)</f>
        <v/>
      </c>
      <c r="I456" s="5">
        <f>SLOPE(F$2:F$731,$A$2:$A$731)*$A456+INTERCEPT(F$2:F$731,$A$2:$A$731)</f>
        <v/>
      </c>
      <c r="J456" s="6" t="inlineStr">
        <is>
          <t>yes</t>
        </is>
      </c>
    </row>
    <row r="457">
      <c r="A457" s="2" t="n">
        <v>45747</v>
      </c>
      <c r="B457" s="3" t="n">
        <v>84.55</v>
      </c>
      <c r="C457" s="4">
        <f>B457/B$2*100</f>
        <v/>
      </c>
      <c r="D457" s="5">
        <f>AVERAGE(B428:B457)</f>
        <v/>
      </c>
      <c r="E457" s="5">
        <f>SLOPE(B$2:B$731,$A$2:$A$731)*$A457+INTERCEPT(B$2:B$731,$A$2:$A$731)</f>
        <v/>
      </c>
      <c r="F457" s="3" t="n">
        <v>0.79</v>
      </c>
      <c r="G457" s="4">
        <f>F457/F$2*100</f>
        <v/>
      </c>
      <c r="H457" s="5">
        <f>AVERAGE(F428:F457)</f>
        <v/>
      </c>
      <c r="I457" s="5">
        <f>SLOPE(F$2:F$731,$A$2:$A$731)*$A457+INTERCEPT(F$2:F$731,$A$2:$A$731)</f>
        <v/>
      </c>
      <c r="J457" s="6" t="inlineStr"/>
    </row>
    <row r="458">
      <c r="A458" s="2" t="n">
        <v>45748</v>
      </c>
      <c r="B458" s="3" t="n">
        <v>84.56</v>
      </c>
      <c r="C458" s="4">
        <f>B458/B$2*100</f>
        <v/>
      </c>
      <c r="D458" s="5">
        <f>AVERAGE(B429:B458)</f>
        <v/>
      </c>
      <c r="E458" s="5">
        <f>SLOPE(B$2:B$731,$A$2:$A$731)*$A458+INTERCEPT(B$2:B$731,$A$2:$A$731)</f>
        <v/>
      </c>
      <c r="F458" s="3" t="n">
        <v>0.79</v>
      </c>
      <c r="G458" s="4">
        <f>F458/F$2*100</f>
        <v/>
      </c>
      <c r="H458" s="5">
        <f>AVERAGE(F429:F458)</f>
        <v/>
      </c>
      <c r="I458" s="5">
        <f>SLOPE(F$2:F$731,$A$2:$A$731)*$A458+INTERCEPT(F$2:F$731,$A$2:$A$731)</f>
        <v/>
      </c>
      <c r="J458" s="6" t="inlineStr"/>
    </row>
    <row r="459">
      <c r="A459" s="2" t="n">
        <v>45749</v>
      </c>
      <c r="B459" s="3" t="n">
        <v>84.56999999999999</v>
      </c>
      <c r="C459" s="4">
        <f>B459/B$2*100</f>
        <v/>
      </c>
      <c r="D459" s="5">
        <f>AVERAGE(B430:B459)</f>
        <v/>
      </c>
      <c r="E459" s="5">
        <f>SLOPE(B$2:B$731,$A$2:$A$731)*$A459+INTERCEPT(B$2:B$731,$A$2:$A$731)</f>
        <v/>
      </c>
      <c r="F459" s="3" t="n">
        <v>0.79</v>
      </c>
      <c r="G459" s="4">
        <f>F459/F$2*100</f>
        <v/>
      </c>
      <c r="H459" s="5">
        <f>AVERAGE(F430:F459)</f>
        <v/>
      </c>
      <c r="I459" s="5">
        <f>SLOPE(F$2:F$731,$A$2:$A$731)*$A459+INTERCEPT(F$2:F$731,$A$2:$A$731)</f>
        <v/>
      </c>
      <c r="J459" s="6" t="inlineStr"/>
    </row>
    <row r="460">
      <c r="A460" s="2" t="n">
        <v>45750</v>
      </c>
      <c r="B460" s="3" t="n">
        <v>84.58</v>
      </c>
      <c r="C460" s="4">
        <f>B460/B$2*100</f>
        <v/>
      </c>
      <c r="D460" s="5">
        <f>AVERAGE(B431:B460)</f>
        <v/>
      </c>
      <c r="E460" s="5">
        <f>SLOPE(B$2:B$731,$A$2:$A$731)*$A460+INTERCEPT(B$2:B$731,$A$2:$A$731)</f>
        <v/>
      </c>
      <c r="F460" s="3" t="n">
        <v>0.79</v>
      </c>
      <c r="G460" s="4">
        <f>F460/F$2*100</f>
        <v/>
      </c>
      <c r="H460" s="5">
        <f>AVERAGE(F431:F460)</f>
        <v/>
      </c>
      <c r="I460" s="5">
        <f>SLOPE(F$2:F$731,$A$2:$A$731)*$A460+INTERCEPT(F$2:F$731,$A$2:$A$731)</f>
        <v/>
      </c>
      <c r="J460" s="6" t="inlineStr"/>
    </row>
    <row r="461">
      <c r="A461" s="2" t="n">
        <v>45751</v>
      </c>
      <c r="B461" s="3" t="n">
        <v>84.59</v>
      </c>
      <c r="C461" s="4">
        <f>B461/B$2*100</f>
        <v/>
      </c>
      <c r="D461" s="5">
        <f>AVERAGE(B432:B461)</f>
        <v/>
      </c>
      <c r="E461" s="5">
        <f>SLOPE(B$2:B$731,$A$2:$A$731)*$A461+INTERCEPT(B$2:B$731,$A$2:$A$731)</f>
        <v/>
      </c>
      <c r="F461" s="3" t="n">
        <v>0.79</v>
      </c>
      <c r="G461" s="4">
        <f>F461/F$2*100</f>
        <v/>
      </c>
      <c r="H461" s="5">
        <f>AVERAGE(F432:F461)</f>
        <v/>
      </c>
      <c r="I461" s="5">
        <f>SLOPE(F$2:F$731,$A$2:$A$731)*$A461+INTERCEPT(F$2:F$731,$A$2:$A$731)</f>
        <v/>
      </c>
      <c r="J461" s="6" t="inlineStr"/>
    </row>
    <row r="462">
      <c r="A462" s="2" t="n">
        <v>45752</v>
      </c>
      <c r="B462" s="3" t="n">
        <v>84.59999999999999</v>
      </c>
      <c r="C462" s="4">
        <f>B462/B$2*100</f>
        <v/>
      </c>
      <c r="D462" s="5">
        <f>AVERAGE(B433:B462)</f>
        <v/>
      </c>
      <c r="E462" s="5">
        <f>SLOPE(B$2:B$731,$A$2:$A$731)*$A462+INTERCEPT(B$2:B$731,$A$2:$A$731)</f>
        <v/>
      </c>
      <c r="F462" s="3" t="n">
        <v>0.79</v>
      </c>
      <c r="G462" s="4">
        <f>F462/F$2*100</f>
        <v/>
      </c>
      <c r="H462" s="5">
        <f>AVERAGE(F433:F462)</f>
        <v/>
      </c>
      <c r="I462" s="5">
        <f>SLOPE(F$2:F$731,$A$2:$A$731)*$A462+INTERCEPT(F$2:F$731,$A$2:$A$731)</f>
        <v/>
      </c>
      <c r="J462" s="6" t="inlineStr">
        <is>
          <t>yes</t>
        </is>
      </c>
    </row>
    <row r="463">
      <c r="A463" s="2" t="n">
        <v>45753</v>
      </c>
      <c r="B463" s="3" t="n">
        <v>84.61</v>
      </c>
      <c r="C463" s="4">
        <f>B463/B$2*100</f>
        <v/>
      </c>
      <c r="D463" s="5">
        <f>AVERAGE(B434:B463)</f>
        <v/>
      </c>
      <c r="E463" s="5">
        <f>SLOPE(B$2:B$731,$A$2:$A$731)*$A463+INTERCEPT(B$2:B$731,$A$2:$A$731)</f>
        <v/>
      </c>
      <c r="F463" s="3" t="n">
        <v>0.79</v>
      </c>
      <c r="G463" s="4">
        <f>F463/F$2*100</f>
        <v/>
      </c>
      <c r="H463" s="5">
        <f>AVERAGE(F434:F463)</f>
        <v/>
      </c>
      <c r="I463" s="5">
        <f>SLOPE(F$2:F$731,$A$2:$A$731)*$A463+INTERCEPT(F$2:F$731,$A$2:$A$731)</f>
        <v/>
      </c>
      <c r="J463" s="6" t="inlineStr">
        <is>
          <t>yes</t>
        </is>
      </c>
    </row>
    <row r="464">
      <c r="A464" s="2" t="n">
        <v>45754</v>
      </c>
      <c r="B464" s="3" t="n">
        <v>84.62</v>
      </c>
      <c r="C464" s="4">
        <f>B464/B$2*100</f>
        <v/>
      </c>
      <c r="D464" s="5">
        <f>AVERAGE(B435:B464)</f>
        <v/>
      </c>
      <c r="E464" s="5">
        <f>SLOPE(B$2:B$731,$A$2:$A$731)*$A464+INTERCEPT(B$2:B$731,$A$2:$A$731)</f>
        <v/>
      </c>
      <c r="F464" s="3" t="n">
        <v>0.79</v>
      </c>
      <c r="G464" s="4">
        <f>F464/F$2*100</f>
        <v/>
      </c>
      <c r="H464" s="5">
        <f>AVERAGE(F435:F464)</f>
        <v/>
      </c>
      <c r="I464" s="5">
        <f>SLOPE(F$2:F$731,$A$2:$A$731)*$A464+INTERCEPT(F$2:F$731,$A$2:$A$731)</f>
        <v/>
      </c>
      <c r="J464" s="6" t="inlineStr"/>
    </row>
    <row r="465">
      <c r="A465" s="2" t="n">
        <v>45755</v>
      </c>
      <c r="B465" s="3" t="n">
        <v>84.63</v>
      </c>
      <c r="C465" s="4">
        <f>B465/B$2*100</f>
        <v/>
      </c>
      <c r="D465" s="5">
        <f>AVERAGE(B436:B465)</f>
        <v/>
      </c>
      <c r="E465" s="5">
        <f>SLOPE(B$2:B$731,$A$2:$A$731)*$A465+INTERCEPT(B$2:B$731,$A$2:$A$731)</f>
        <v/>
      </c>
      <c r="F465" s="3" t="n">
        <v>0.79</v>
      </c>
      <c r="G465" s="4">
        <f>F465/F$2*100</f>
        <v/>
      </c>
      <c r="H465" s="5">
        <f>AVERAGE(F436:F465)</f>
        <v/>
      </c>
      <c r="I465" s="5">
        <f>SLOPE(F$2:F$731,$A$2:$A$731)*$A465+INTERCEPT(F$2:F$731,$A$2:$A$731)</f>
        <v/>
      </c>
      <c r="J465" s="6" t="inlineStr"/>
    </row>
    <row r="466">
      <c r="A466" s="2" t="n">
        <v>45756</v>
      </c>
      <c r="B466" s="3" t="n">
        <v>84.64</v>
      </c>
      <c r="C466" s="4">
        <f>B466/B$2*100</f>
        <v/>
      </c>
      <c r="D466" s="5">
        <f>AVERAGE(B437:B466)</f>
        <v/>
      </c>
      <c r="E466" s="5">
        <f>SLOPE(B$2:B$731,$A$2:$A$731)*$A466+INTERCEPT(B$2:B$731,$A$2:$A$731)</f>
        <v/>
      </c>
      <c r="F466" s="3" t="n">
        <v>0.79</v>
      </c>
      <c r="G466" s="4">
        <f>F466/F$2*100</f>
        <v/>
      </c>
      <c r="H466" s="5">
        <f>AVERAGE(F437:F466)</f>
        <v/>
      </c>
      <c r="I466" s="5">
        <f>SLOPE(F$2:F$731,$A$2:$A$731)*$A466+INTERCEPT(F$2:F$731,$A$2:$A$731)</f>
        <v/>
      </c>
      <c r="J466" s="6" t="inlineStr"/>
    </row>
    <row r="467">
      <c r="A467" s="2" t="n">
        <v>45757</v>
      </c>
      <c r="B467" s="3" t="n">
        <v>84.65000000000001</v>
      </c>
      <c r="C467" s="4">
        <f>B467/B$2*100</f>
        <v/>
      </c>
      <c r="D467" s="5">
        <f>AVERAGE(B438:B467)</f>
        <v/>
      </c>
      <c r="E467" s="5">
        <f>SLOPE(B$2:B$731,$A$2:$A$731)*$A467+INTERCEPT(B$2:B$731,$A$2:$A$731)</f>
        <v/>
      </c>
      <c r="F467" s="3" t="n">
        <v>0.79</v>
      </c>
      <c r="G467" s="4">
        <f>F467/F$2*100</f>
        <v/>
      </c>
      <c r="H467" s="5">
        <f>AVERAGE(F438:F467)</f>
        <v/>
      </c>
      <c r="I467" s="5">
        <f>SLOPE(F$2:F$731,$A$2:$A$731)*$A467+INTERCEPT(F$2:F$731,$A$2:$A$731)</f>
        <v/>
      </c>
      <c r="J467" s="6" t="inlineStr"/>
    </row>
    <row r="468">
      <c r="A468" s="2" t="n">
        <v>45758</v>
      </c>
      <c r="B468" s="3" t="n">
        <v>84.66</v>
      </c>
      <c r="C468" s="4">
        <f>B468/B$2*100</f>
        <v/>
      </c>
      <c r="D468" s="5">
        <f>AVERAGE(B439:B468)</f>
        <v/>
      </c>
      <c r="E468" s="5">
        <f>SLOPE(B$2:B$731,$A$2:$A$731)*$A468+INTERCEPT(B$2:B$731,$A$2:$A$731)</f>
        <v/>
      </c>
      <c r="F468" s="3" t="n">
        <v>0.79</v>
      </c>
      <c r="G468" s="4">
        <f>F468/F$2*100</f>
        <v/>
      </c>
      <c r="H468" s="5">
        <f>AVERAGE(F439:F468)</f>
        <v/>
      </c>
      <c r="I468" s="5">
        <f>SLOPE(F$2:F$731,$A$2:$A$731)*$A468+INTERCEPT(F$2:F$731,$A$2:$A$731)</f>
        <v/>
      </c>
      <c r="J468" s="6" t="inlineStr"/>
    </row>
    <row r="469">
      <c r="A469" s="2" t="n">
        <v>45759</v>
      </c>
      <c r="B469" s="3" t="n">
        <v>84.67</v>
      </c>
      <c r="C469" s="4">
        <f>B469/B$2*100</f>
        <v/>
      </c>
      <c r="D469" s="5">
        <f>AVERAGE(B440:B469)</f>
        <v/>
      </c>
      <c r="E469" s="5">
        <f>SLOPE(B$2:B$731,$A$2:$A$731)*$A469+INTERCEPT(B$2:B$731,$A$2:$A$731)</f>
        <v/>
      </c>
      <c r="F469" s="3" t="n">
        <v>0.79</v>
      </c>
      <c r="G469" s="4">
        <f>F469/F$2*100</f>
        <v/>
      </c>
      <c r="H469" s="5">
        <f>AVERAGE(F440:F469)</f>
        <v/>
      </c>
      <c r="I469" s="5">
        <f>SLOPE(F$2:F$731,$A$2:$A$731)*$A469+INTERCEPT(F$2:F$731,$A$2:$A$731)</f>
        <v/>
      </c>
      <c r="J469" s="6" t="inlineStr">
        <is>
          <t>yes</t>
        </is>
      </c>
    </row>
    <row r="470">
      <c r="A470" s="2" t="n">
        <v>45760</v>
      </c>
      <c r="B470" s="3" t="n">
        <v>84.68000000000001</v>
      </c>
      <c r="C470" s="4">
        <f>B470/B$2*100</f>
        <v/>
      </c>
      <c r="D470" s="5">
        <f>AVERAGE(B441:B470)</f>
        <v/>
      </c>
      <c r="E470" s="5">
        <f>SLOPE(B$2:B$731,$A$2:$A$731)*$A470+INTERCEPT(B$2:B$731,$A$2:$A$731)</f>
        <v/>
      </c>
      <c r="F470" s="3" t="n">
        <v>0.79</v>
      </c>
      <c r="G470" s="4">
        <f>F470/F$2*100</f>
        <v/>
      </c>
      <c r="H470" s="5">
        <f>AVERAGE(F441:F470)</f>
        <v/>
      </c>
      <c r="I470" s="5">
        <f>SLOPE(F$2:F$731,$A$2:$A$731)*$A470+INTERCEPT(F$2:F$731,$A$2:$A$731)</f>
        <v/>
      </c>
      <c r="J470" s="6" t="inlineStr">
        <is>
          <t>yes</t>
        </is>
      </c>
    </row>
    <row r="471">
      <c r="A471" s="2" t="n">
        <v>45761</v>
      </c>
      <c r="B471" s="3" t="n">
        <v>84.69</v>
      </c>
      <c r="C471" s="4">
        <f>B471/B$2*100</f>
        <v/>
      </c>
      <c r="D471" s="5">
        <f>AVERAGE(B442:B471)</f>
        <v/>
      </c>
      <c r="E471" s="5">
        <f>SLOPE(B$2:B$731,$A$2:$A$731)*$A471+INTERCEPT(B$2:B$731,$A$2:$A$731)</f>
        <v/>
      </c>
      <c r="F471" s="3" t="n">
        <v>0.79</v>
      </c>
      <c r="G471" s="4">
        <f>F471/F$2*100</f>
        <v/>
      </c>
      <c r="H471" s="5">
        <f>AVERAGE(F442:F471)</f>
        <v/>
      </c>
      <c r="I471" s="5">
        <f>SLOPE(F$2:F$731,$A$2:$A$731)*$A471+INTERCEPT(F$2:F$731,$A$2:$A$731)</f>
        <v/>
      </c>
      <c r="J471" s="6" t="inlineStr"/>
    </row>
    <row r="472">
      <c r="A472" s="2" t="n">
        <v>45762</v>
      </c>
      <c r="B472" s="3" t="n">
        <v>84.7</v>
      </c>
      <c r="C472" s="4">
        <f>B472/B$2*100</f>
        <v/>
      </c>
      <c r="D472" s="5">
        <f>AVERAGE(B443:B472)</f>
        <v/>
      </c>
      <c r="E472" s="5">
        <f>SLOPE(B$2:B$731,$A$2:$A$731)*$A472+INTERCEPT(B$2:B$731,$A$2:$A$731)</f>
        <v/>
      </c>
      <c r="F472" s="3" t="n">
        <v>0.79</v>
      </c>
      <c r="G472" s="4">
        <f>F472/F$2*100</f>
        <v/>
      </c>
      <c r="H472" s="5">
        <f>AVERAGE(F443:F472)</f>
        <v/>
      </c>
      <c r="I472" s="5">
        <f>SLOPE(F$2:F$731,$A$2:$A$731)*$A472+INTERCEPT(F$2:F$731,$A$2:$A$731)</f>
        <v/>
      </c>
      <c r="J472" s="6" t="inlineStr"/>
    </row>
    <row r="473">
      <c r="A473" s="2" t="n">
        <v>45763</v>
      </c>
      <c r="B473" s="3" t="n">
        <v>84.70999999999999</v>
      </c>
      <c r="C473" s="4">
        <f>B473/B$2*100</f>
        <v/>
      </c>
      <c r="D473" s="5">
        <f>AVERAGE(B444:B473)</f>
        <v/>
      </c>
      <c r="E473" s="5">
        <f>SLOPE(B$2:B$731,$A$2:$A$731)*$A473+INTERCEPT(B$2:B$731,$A$2:$A$731)</f>
        <v/>
      </c>
      <c r="F473" s="3" t="n">
        <v>0.79</v>
      </c>
      <c r="G473" s="4">
        <f>F473/F$2*100</f>
        <v/>
      </c>
      <c r="H473" s="5">
        <f>AVERAGE(F444:F473)</f>
        <v/>
      </c>
      <c r="I473" s="5">
        <f>SLOPE(F$2:F$731,$A$2:$A$731)*$A473+INTERCEPT(F$2:F$731,$A$2:$A$731)</f>
        <v/>
      </c>
      <c r="J473" s="6" t="inlineStr"/>
    </row>
    <row r="474">
      <c r="A474" s="2" t="n">
        <v>45764</v>
      </c>
      <c r="B474" s="3" t="n">
        <v>84.72</v>
      </c>
      <c r="C474" s="4">
        <f>B474/B$2*100</f>
        <v/>
      </c>
      <c r="D474" s="5">
        <f>AVERAGE(B445:B474)</f>
        <v/>
      </c>
      <c r="E474" s="5">
        <f>SLOPE(B$2:B$731,$A$2:$A$731)*$A474+INTERCEPT(B$2:B$731,$A$2:$A$731)</f>
        <v/>
      </c>
      <c r="F474" s="3" t="n">
        <v>0.79</v>
      </c>
      <c r="G474" s="4">
        <f>F474/F$2*100</f>
        <v/>
      </c>
      <c r="H474" s="5">
        <f>AVERAGE(F445:F474)</f>
        <v/>
      </c>
      <c r="I474" s="5">
        <f>SLOPE(F$2:F$731,$A$2:$A$731)*$A474+INTERCEPT(F$2:F$731,$A$2:$A$731)</f>
        <v/>
      </c>
      <c r="J474" s="6" t="inlineStr"/>
    </row>
    <row r="475">
      <c r="A475" s="2" t="n">
        <v>45765</v>
      </c>
      <c r="B475" s="3" t="n">
        <v>84.73</v>
      </c>
      <c r="C475" s="4">
        <f>B475/B$2*100</f>
        <v/>
      </c>
      <c r="D475" s="5">
        <f>AVERAGE(B446:B475)</f>
        <v/>
      </c>
      <c r="E475" s="5">
        <f>SLOPE(B$2:B$731,$A$2:$A$731)*$A475+INTERCEPT(B$2:B$731,$A$2:$A$731)</f>
        <v/>
      </c>
      <c r="F475" s="3" t="n">
        <v>0.79</v>
      </c>
      <c r="G475" s="4">
        <f>F475/F$2*100</f>
        <v/>
      </c>
      <c r="H475" s="5">
        <f>AVERAGE(F446:F475)</f>
        <v/>
      </c>
      <c r="I475" s="5">
        <f>SLOPE(F$2:F$731,$A$2:$A$731)*$A475+INTERCEPT(F$2:F$731,$A$2:$A$731)</f>
        <v/>
      </c>
      <c r="J475" s="6" t="inlineStr"/>
    </row>
    <row r="476">
      <c r="A476" s="2" t="n">
        <v>45766</v>
      </c>
      <c r="B476" s="3" t="n">
        <v>84.73999999999999</v>
      </c>
      <c r="C476" s="4">
        <f>B476/B$2*100</f>
        <v/>
      </c>
      <c r="D476" s="5">
        <f>AVERAGE(B447:B476)</f>
        <v/>
      </c>
      <c r="E476" s="5">
        <f>SLOPE(B$2:B$731,$A$2:$A$731)*$A476+INTERCEPT(B$2:B$731,$A$2:$A$731)</f>
        <v/>
      </c>
      <c r="F476" s="3" t="n">
        <v>0.79</v>
      </c>
      <c r="G476" s="4">
        <f>F476/F$2*100</f>
        <v/>
      </c>
      <c r="H476" s="5">
        <f>AVERAGE(F447:F476)</f>
        <v/>
      </c>
      <c r="I476" s="5">
        <f>SLOPE(F$2:F$731,$A$2:$A$731)*$A476+INTERCEPT(F$2:F$731,$A$2:$A$731)</f>
        <v/>
      </c>
      <c r="J476" s="6" t="inlineStr">
        <is>
          <t>yes</t>
        </is>
      </c>
    </row>
    <row r="477">
      <c r="A477" s="2" t="n">
        <v>45767</v>
      </c>
      <c r="B477" s="3" t="n">
        <v>84.75</v>
      </c>
      <c r="C477" s="4">
        <f>B477/B$2*100</f>
        <v/>
      </c>
      <c r="D477" s="5">
        <f>AVERAGE(B448:B477)</f>
        <v/>
      </c>
      <c r="E477" s="5">
        <f>SLOPE(B$2:B$731,$A$2:$A$731)*$A477+INTERCEPT(B$2:B$731,$A$2:$A$731)</f>
        <v/>
      </c>
      <c r="F477" s="3" t="n">
        <v>0.79</v>
      </c>
      <c r="G477" s="4">
        <f>F477/F$2*100</f>
        <v/>
      </c>
      <c r="H477" s="5">
        <f>AVERAGE(F448:F477)</f>
        <v/>
      </c>
      <c r="I477" s="5">
        <f>SLOPE(F$2:F$731,$A$2:$A$731)*$A477+INTERCEPT(F$2:F$731,$A$2:$A$731)</f>
        <v/>
      </c>
      <c r="J477" s="6" t="inlineStr">
        <is>
          <t>yes</t>
        </is>
      </c>
    </row>
    <row r="478">
      <c r="A478" s="2" t="n">
        <v>45768</v>
      </c>
      <c r="B478" s="3" t="n">
        <v>84.76000000000001</v>
      </c>
      <c r="C478" s="4">
        <f>B478/B$2*100</f>
        <v/>
      </c>
      <c r="D478" s="5">
        <f>AVERAGE(B449:B478)</f>
        <v/>
      </c>
      <c r="E478" s="5">
        <f>SLOPE(B$2:B$731,$A$2:$A$731)*$A478+INTERCEPT(B$2:B$731,$A$2:$A$731)</f>
        <v/>
      </c>
      <c r="F478" s="3" t="n">
        <v>0.79</v>
      </c>
      <c r="G478" s="4">
        <f>F478/F$2*100</f>
        <v/>
      </c>
      <c r="H478" s="5">
        <f>AVERAGE(F449:F478)</f>
        <v/>
      </c>
      <c r="I478" s="5">
        <f>SLOPE(F$2:F$731,$A$2:$A$731)*$A478+INTERCEPT(F$2:F$731,$A$2:$A$731)</f>
        <v/>
      </c>
      <c r="J478" s="6" t="inlineStr"/>
    </row>
    <row r="479">
      <c r="A479" s="2" t="n">
        <v>45769</v>
      </c>
      <c r="B479" s="3" t="n">
        <v>84.77</v>
      </c>
      <c r="C479" s="4">
        <f>B479/B$2*100</f>
        <v/>
      </c>
      <c r="D479" s="5">
        <f>AVERAGE(B450:B479)</f>
        <v/>
      </c>
      <c r="E479" s="5">
        <f>SLOPE(B$2:B$731,$A$2:$A$731)*$A479+INTERCEPT(B$2:B$731,$A$2:$A$731)</f>
        <v/>
      </c>
      <c r="F479" s="3" t="n">
        <v>0.79</v>
      </c>
      <c r="G479" s="4">
        <f>F479/F$2*100</f>
        <v/>
      </c>
      <c r="H479" s="5">
        <f>AVERAGE(F450:F479)</f>
        <v/>
      </c>
      <c r="I479" s="5">
        <f>SLOPE(F$2:F$731,$A$2:$A$731)*$A479+INTERCEPT(F$2:F$731,$A$2:$A$731)</f>
        <v/>
      </c>
      <c r="J479" s="6" t="inlineStr"/>
    </row>
    <row r="480">
      <c r="A480" s="2" t="n">
        <v>45770</v>
      </c>
      <c r="B480" s="3" t="n">
        <v>84.78</v>
      </c>
      <c r="C480" s="4">
        <f>B480/B$2*100</f>
        <v/>
      </c>
      <c r="D480" s="5">
        <f>AVERAGE(B451:B480)</f>
        <v/>
      </c>
      <c r="E480" s="5">
        <f>SLOPE(B$2:B$731,$A$2:$A$731)*$A480+INTERCEPT(B$2:B$731,$A$2:$A$731)</f>
        <v/>
      </c>
      <c r="F480" s="3" t="n">
        <v>0.79</v>
      </c>
      <c r="G480" s="4">
        <f>F480/F$2*100</f>
        <v/>
      </c>
      <c r="H480" s="5">
        <f>AVERAGE(F451:F480)</f>
        <v/>
      </c>
      <c r="I480" s="5">
        <f>SLOPE(F$2:F$731,$A$2:$A$731)*$A480+INTERCEPT(F$2:F$731,$A$2:$A$731)</f>
        <v/>
      </c>
      <c r="J480" s="6" t="inlineStr"/>
    </row>
    <row r="481">
      <c r="A481" s="2" t="n">
        <v>45771</v>
      </c>
      <c r="B481" s="3" t="n">
        <v>84.79000000000001</v>
      </c>
      <c r="C481" s="4">
        <f>B481/B$2*100</f>
        <v/>
      </c>
      <c r="D481" s="5">
        <f>AVERAGE(B452:B481)</f>
        <v/>
      </c>
      <c r="E481" s="5">
        <f>SLOPE(B$2:B$731,$A$2:$A$731)*$A481+INTERCEPT(B$2:B$731,$A$2:$A$731)</f>
        <v/>
      </c>
      <c r="F481" s="3" t="n">
        <v>0.79</v>
      </c>
      <c r="G481" s="4">
        <f>F481/F$2*100</f>
        <v/>
      </c>
      <c r="H481" s="5">
        <f>AVERAGE(F452:F481)</f>
        <v/>
      </c>
      <c r="I481" s="5">
        <f>SLOPE(F$2:F$731,$A$2:$A$731)*$A481+INTERCEPT(F$2:F$731,$A$2:$A$731)</f>
        <v/>
      </c>
      <c r="J481" s="6" t="inlineStr"/>
    </row>
    <row r="482">
      <c r="A482" s="2" t="n">
        <v>45772</v>
      </c>
      <c r="B482" s="3" t="n">
        <v>84.8</v>
      </c>
      <c r="C482" s="4">
        <f>B482/B$2*100</f>
        <v/>
      </c>
      <c r="D482" s="5">
        <f>AVERAGE(B453:B482)</f>
        <v/>
      </c>
      <c r="E482" s="5">
        <f>SLOPE(B$2:B$731,$A$2:$A$731)*$A482+INTERCEPT(B$2:B$731,$A$2:$A$731)</f>
        <v/>
      </c>
      <c r="F482" s="3" t="n">
        <v>0.79</v>
      </c>
      <c r="G482" s="4">
        <f>F482/F$2*100</f>
        <v/>
      </c>
      <c r="H482" s="5">
        <f>AVERAGE(F453:F482)</f>
        <v/>
      </c>
      <c r="I482" s="5">
        <f>SLOPE(F$2:F$731,$A$2:$A$731)*$A482+INTERCEPT(F$2:F$731,$A$2:$A$731)</f>
        <v/>
      </c>
      <c r="J482" s="6" t="inlineStr"/>
    </row>
    <row r="483">
      <c r="A483" s="2" t="n">
        <v>45773</v>
      </c>
      <c r="B483" s="3" t="n">
        <v>84.81</v>
      </c>
      <c r="C483" s="4">
        <f>B483/B$2*100</f>
        <v/>
      </c>
      <c r="D483" s="5">
        <f>AVERAGE(B454:B483)</f>
        <v/>
      </c>
      <c r="E483" s="5">
        <f>SLOPE(B$2:B$731,$A$2:$A$731)*$A483+INTERCEPT(B$2:B$731,$A$2:$A$731)</f>
        <v/>
      </c>
      <c r="F483" s="3" t="n">
        <v>0.79</v>
      </c>
      <c r="G483" s="4">
        <f>F483/F$2*100</f>
        <v/>
      </c>
      <c r="H483" s="5">
        <f>AVERAGE(F454:F483)</f>
        <v/>
      </c>
      <c r="I483" s="5">
        <f>SLOPE(F$2:F$731,$A$2:$A$731)*$A483+INTERCEPT(F$2:F$731,$A$2:$A$731)</f>
        <v/>
      </c>
      <c r="J483" s="6" t="inlineStr">
        <is>
          <t>yes</t>
        </is>
      </c>
    </row>
    <row r="484">
      <c r="A484" s="2" t="n">
        <v>45774</v>
      </c>
      <c r="B484" s="3" t="n">
        <v>84.81999999999999</v>
      </c>
      <c r="C484" s="4">
        <f>B484/B$2*100</f>
        <v/>
      </c>
      <c r="D484" s="5">
        <f>AVERAGE(B455:B484)</f>
        <v/>
      </c>
      <c r="E484" s="5">
        <f>SLOPE(B$2:B$731,$A$2:$A$731)*$A484+INTERCEPT(B$2:B$731,$A$2:$A$731)</f>
        <v/>
      </c>
      <c r="F484" s="3" t="n">
        <v>0.79</v>
      </c>
      <c r="G484" s="4">
        <f>F484/F$2*100</f>
        <v/>
      </c>
      <c r="H484" s="5">
        <f>AVERAGE(F455:F484)</f>
        <v/>
      </c>
      <c r="I484" s="5">
        <f>SLOPE(F$2:F$731,$A$2:$A$731)*$A484+INTERCEPT(F$2:F$731,$A$2:$A$731)</f>
        <v/>
      </c>
      <c r="J484" s="6" t="inlineStr">
        <is>
          <t>yes</t>
        </is>
      </c>
    </row>
    <row r="485">
      <c r="A485" s="2" t="n">
        <v>45775</v>
      </c>
      <c r="B485" s="3" t="n">
        <v>84.83</v>
      </c>
      <c r="C485" s="4">
        <f>B485/B$2*100</f>
        <v/>
      </c>
      <c r="D485" s="5">
        <f>AVERAGE(B456:B485)</f>
        <v/>
      </c>
      <c r="E485" s="5">
        <f>SLOPE(B$2:B$731,$A$2:$A$731)*$A485+INTERCEPT(B$2:B$731,$A$2:$A$731)</f>
        <v/>
      </c>
      <c r="F485" s="3" t="n">
        <v>0.79</v>
      </c>
      <c r="G485" s="4">
        <f>F485/F$2*100</f>
        <v/>
      </c>
      <c r="H485" s="5">
        <f>AVERAGE(F456:F485)</f>
        <v/>
      </c>
      <c r="I485" s="5">
        <f>SLOPE(F$2:F$731,$A$2:$A$731)*$A485+INTERCEPT(F$2:F$731,$A$2:$A$731)</f>
        <v/>
      </c>
      <c r="J485" s="6" t="inlineStr"/>
    </row>
    <row r="486">
      <c r="A486" s="2" t="n">
        <v>45776</v>
      </c>
      <c r="B486" s="3" t="n">
        <v>84.84</v>
      </c>
      <c r="C486" s="4">
        <f>B486/B$2*100</f>
        <v/>
      </c>
      <c r="D486" s="5">
        <f>AVERAGE(B457:B486)</f>
        <v/>
      </c>
      <c r="E486" s="5">
        <f>SLOPE(B$2:B$731,$A$2:$A$731)*$A486+INTERCEPT(B$2:B$731,$A$2:$A$731)</f>
        <v/>
      </c>
      <c r="F486" s="3" t="n">
        <v>0.79</v>
      </c>
      <c r="G486" s="4">
        <f>F486/F$2*100</f>
        <v/>
      </c>
      <c r="H486" s="5">
        <f>AVERAGE(F457:F486)</f>
        <v/>
      </c>
      <c r="I486" s="5">
        <f>SLOPE(F$2:F$731,$A$2:$A$731)*$A486+INTERCEPT(F$2:F$731,$A$2:$A$731)</f>
        <v/>
      </c>
      <c r="J486" s="6" t="inlineStr"/>
    </row>
    <row r="487">
      <c r="A487" s="2" t="n">
        <v>45777</v>
      </c>
      <c r="B487" s="3" t="n">
        <v>84.84999999999999</v>
      </c>
      <c r="C487" s="4">
        <f>B487/B$2*100</f>
        <v/>
      </c>
      <c r="D487" s="5">
        <f>AVERAGE(B458:B487)</f>
        <v/>
      </c>
      <c r="E487" s="5">
        <f>SLOPE(B$2:B$731,$A$2:$A$731)*$A487+INTERCEPT(B$2:B$731,$A$2:$A$731)</f>
        <v/>
      </c>
      <c r="F487" s="3" t="n">
        <v>0.79</v>
      </c>
      <c r="G487" s="4">
        <f>F487/F$2*100</f>
        <v/>
      </c>
      <c r="H487" s="5">
        <f>AVERAGE(F458:F487)</f>
        <v/>
      </c>
      <c r="I487" s="5">
        <f>SLOPE(F$2:F$731,$A$2:$A$731)*$A487+INTERCEPT(F$2:F$731,$A$2:$A$731)</f>
        <v/>
      </c>
      <c r="J487" s="6" t="inlineStr"/>
    </row>
    <row r="488">
      <c r="A488" s="2" t="n">
        <v>45778</v>
      </c>
      <c r="B488" s="3" t="n">
        <v>84.86</v>
      </c>
      <c r="C488" s="4">
        <f>B488/B$2*100</f>
        <v/>
      </c>
      <c r="D488" s="5">
        <f>AVERAGE(B459:B488)</f>
        <v/>
      </c>
      <c r="E488" s="5">
        <f>SLOPE(B$2:B$731,$A$2:$A$731)*$A488+INTERCEPT(B$2:B$731,$A$2:$A$731)</f>
        <v/>
      </c>
      <c r="F488" s="3" t="n">
        <v>0.79</v>
      </c>
      <c r="G488" s="4">
        <f>F488/F$2*100</f>
        <v/>
      </c>
      <c r="H488" s="5">
        <f>AVERAGE(F459:F488)</f>
        <v/>
      </c>
      <c r="I488" s="5">
        <f>SLOPE(F$2:F$731,$A$2:$A$731)*$A488+INTERCEPT(F$2:F$731,$A$2:$A$731)</f>
        <v/>
      </c>
      <c r="J488" s="6" t="inlineStr"/>
    </row>
    <row r="489">
      <c r="A489" s="2" t="n">
        <v>45779</v>
      </c>
      <c r="B489" s="3" t="n">
        <v>84.87</v>
      </c>
      <c r="C489" s="4">
        <f>B489/B$2*100</f>
        <v/>
      </c>
      <c r="D489" s="5">
        <f>AVERAGE(B460:B489)</f>
        <v/>
      </c>
      <c r="E489" s="5">
        <f>SLOPE(B$2:B$731,$A$2:$A$731)*$A489+INTERCEPT(B$2:B$731,$A$2:$A$731)</f>
        <v/>
      </c>
      <c r="F489" s="3" t="n">
        <v>0.79</v>
      </c>
      <c r="G489" s="4">
        <f>F489/F$2*100</f>
        <v/>
      </c>
      <c r="H489" s="5">
        <f>AVERAGE(F460:F489)</f>
        <v/>
      </c>
      <c r="I489" s="5">
        <f>SLOPE(F$2:F$731,$A$2:$A$731)*$A489+INTERCEPT(F$2:F$731,$A$2:$A$731)</f>
        <v/>
      </c>
      <c r="J489" s="6" t="inlineStr"/>
    </row>
    <row r="490">
      <c r="A490" s="2" t="n">
        <v>45780</v>
      </c>
      <c r="B490" s="3" t="n">
        <v>84.88</v>
      </c>
      <c r="C490" s="4">
        <f>B490/B$2*100</f>
        <v/>
      </c>
      <c r="D490" s="5">
        <f>AVERAGE(B461:B490)</f>
        <v/>
      </c>
      <c r="E490" s="5">
        <f>SLOPE(B$2:B$731,$A$2:$A$731)*$A490+INTERCEPT(B$2:B$731,$A$2:$A$731)</f>
        <v/>
      </c>
      <c r="F490" s="3" t="n">
        <v>0.79</v>
      </c>
      <c r="G490" s="4">
        <f>F490/F$2*100</f>
        <v/>
      </c>
      <c r="H490" s="5">
        <f>AVERAGE(F461:F490)</f>
        <v/>
      </c>
      <c r="I490" s="5">
        <f>SLOPE(F$2:F$731,$A$2:$A$731)*$A490+INTERCEPT(F$2:F$731,$A$2:$A$731)</f>
        <v/>
      </c>
      <c r="J490" s="6" t="inlineStr">
        <is>
          <t>yes</t>
        </is>
      </c>
    </row>
    <row r="491">
      <c r="A491" s="2" t="n">
        <v>45781</v>
      </c>
      <c r="B491" s="3" t="n">
        <v>84.89</v>
      </c>
      <c r="C491" s="4">
        <f>B491/B$2*100</f>
        <v/>
      </c>
      <c r="D491" s="5">
        <f>AVERAGE(B462:B491)</f>
        <v/>
      </c>
      <c r="E491" s="5">
        <f>SLOPE(B$2:B$731,$A$2:$A$731)*$A491+INTERCEPT(B$2:B$731,$A$2:$A$731)</f>
        <v/>
      </c>
      <c r="F491" s="3" t="n">
        <v>0.79</v>
      </c>
      <c r="G491" s="4">
        <f>F491/F$2*100</f>
        <v/>
      </c>
      <c r="H491" s="5">
        <f>AVERAGE(F462:F491)</f>
        <v/>
      </c>
      <c r="I491" s="5">
        <f>SLOPE(F$2:F$731,$A$2:$A$731)*$A491+INTERCEPT(F$2:F$731,$A$2:$A$731)</f>
        <v/>
      </c>
      <c r="J491" s="6" t="inlineStr">
        <is>
          <t>yes</t>
        </is>
      </c>
    </row>
    <row r="492">
      <c r="A492" s="2" t="n">
        <v>45782</v>
      </c>
      <c r="B492" s="3" t="n">
        <v>84.90000000000001</v>
      </c>
      <c r="C492" s="4">
        <f>B492/B$2*100</f>
        <v/>
      </c>
      <c r="D492" s="5">
        <f>AVERAGE(B463:B492)</f>
        <v/>
      </c>
      <c r="E492" s="5">
        <f>SLOPE(B$2:B$731,$A$2:$A$731)*$A492+INTERCEPT(B$2:B$731,$A$2:$A$731)</f>
        <v/>
      </c>
      <c r="F492" s="3" t="n">
        <v>0.79</v>
      </c>
      <c r="G492" s="4">
        <f>F492/F$2*100</f>
        <v/>
      </c>
      <c r="H492" s="5">
        <f>AVERAGE(F463:F492)</f>
        <v/>
      </c>
      <c r="I492" s="5">
        <f>SLOPE(F$2:F$731,$A$2:$A$731)*$A492+INTERCEPT(F$2:F$731,$A$2:$A$731)</f>
        <v/>
      </c>
      <c r="J492" s="6" t="inlineStr"/>
    </row>
    <row r="493">
      <c r="A493" s="2" t="n">
        <v>45783</v>
      </c>
      <c r="B493" s="3" t="n">
        <v>84.91</v>
      </c>
      <c r="C493" s="4">
        <f>B493/B$2*100</f>
        <v/>
      </c>
      <c r="D493" s="5">
        <f>AVERAGE(B464:B493)</f>
        <v/>
      </c>
      <c r="E493" s="5">
        <f>SLOPE(B$2:B$731,$A$2:$A$731)*$A493+INTERCEPT(B$2:B$731,$A$2:$A$731)</f>
        <v/>
      </c>
      <c r="F493" s="3" t="n">
        <v>0.79</v>
      </c>
      <c r="G493" s="4">
        <f>F493/F$2*100</f>
        <v/>
      </c>
      <c r="H493" s="5">
        <f>AVERAGE(F464:F493)</f>
        <v/>
      </c>
      <c r="I493" s="5">
        <f>SLOPE(F$2:F$731,$A$2:$A$731)*$A493+INTERCEPT(F$2:F$731,$A$2:$A$731)</f>
        <v/>
      </c>
      <c r="J493" s="6" t="inlineStr"/>
    </row>
    <row r="494">
      <c r="A494" s="2" t="n">
        <v>45784</v>
      </c>
      <c r="B494" s="3" t="n">
        <v>84.92</v>
      </c>
      <c r="C494" s="4">
        <f>B494/B$2*100</f>
        <v/>
      </c>
      <c r="D494" s="5">
        <f>AVERAGE(B465:B494)</f>
        <v/>
      </c>
      <c r="E494" s="5">
        <f>SLOPE(B$2:B$731,$A$2:$A$731)*$A494+INTERCEPT(B$2:B$731,$A$2:$A$731)</f>
        <v/>
      </c>
      <c r="F494" s="3" t="n">
        <v>0.79</v>
      </c>
      <c r="G494" s="4">
        <f>F494/F$2*100</f>
        <v/>
      </c>
      <c r="H494" s="5">
        <f>AVERAGE(F465:F494)</f>
        <v/>
      </c>
      <c r="I494" s="5">
        <f>SLOPE(F$2:F$731,$A$2:$A$731)*$A494+INTERCEPT(F$2:F$731,$A$2:$A$731)</f>
        <v/>
      </c>
      <c r="J494" s="6" t="inlineStr"/>
    </row>
    <row r="495">
      <c r="A495" s="2" t="n">
        <v>45785</v>
      </c>
      <c r="B495" s="3" t="n">
        <v>84.93000000000001</v>
      </c>
      <c r="C495" s="4">
        <f>B495/B$2*100</f>
        <v/>
      </c>
      <c r="D495" s="5">
        <f>AVERAGE(B466:B495)</f>
        <v/>
      </c>
      <c r="E495" s="5">
        <f>SLOPE(B$2:B$731,$A$2:$A$731)*$A495+INTERCEPT(B$2:B$731,$A$2:$A$731)</f>
        <v/>
      </c>
      <c r="F495" s="3" t="n">
        <v>0.79</v>
      </c>
      <c r="G495" s="4">
        <f>F495/F$2*100</f>
        <v/>
      </c>
      <c r="H495" s="5">
        <f>AVERAGE(F466:F495)</f>
        <v/>
      </c>
      <c r="I495" s="5">
        <f>SLOPE(F$2:F$731,$A$2:$A$731)*$A495+INTERCEPT(F$2:F$731,$A$2:$A$731)</f>
        <v/>
      </c>
      <c r="J495" s="6" t="inlineStr"/>
    </row>
    <row r="496">
      <c r="A496" s="2" t="n">
        <v>45786</v>
      </c>
      <c r="B496" s="3" t="n">
        <v>84.94</v>
      </c>
      <c r="C496" s="4">
        <f>B496/B$2*100</f>
        <v/>
      </c>
      <c r="D496" s="5">
        <f>AVERAGE(B467:B496)</f>
        <v/>
      </c>
      <c r="E496" s="5">
        <f>SLOPE(B$2:B$731,$A$2:$A$731)*$A496+INTERCEPT(B$2:B$731,$A$2:$A$731)</f>
        <v/>
      </c>
      <c r="F496" s="3" t="n">
        <v>0.79</v>
      </c>
      <c r="G496" s="4">
        <f>F496/F$2*100</f>
        <v/>
      </c>
      <c r="H496" s="5">
        <f>AVERAGE(F467:F496)</f>
        <v/>
      </c>
      <c r="I496" s="5">
        <f>SLOPE(F$2:F$731,$A$2:$A$731)*$A496+INTERCEPT(F$2:F$731,$A$2:$A$731)</f>
        <v/>
      </c>
      <c r="J496" s="6" t="inlineStr"/>
    </row>
    <row r="497">
      <c r="A497" s="2" t="n">
        <v>45787</v>
      </c>
      <c r="B497" s="3" t="n">
        <v>84.95</v>
      </c>
      <c r="C497" s="4">
        <f>B497/B$2*100</f>
        <v/>
      </c>
      <c r="D497" s="5">
        <f>AVERAGE(B468:B497)</f>
        <v/>
      </c>
      <c r="E497" s="5">
        <f>SLOPE(B$2:B$731,$A$2:$A$731)*$A497+INTERCEPT(B$2:B$731,$A$2:$A$731)</f>
        <v/>
      </c>
      <c r="F497" s="3" t="n">
        <v>0.79</v>
      </c>
      <c r="G497" s="4">
        <f>F497/F$2*100</f>
        <v/>
      </c>
      <c r="H497" s="5">
        <f>AVERAGE(F468:F497)</f>
        <v/>
      </c>
      <c r="I497" s="5">
        <f>SLOPE(F$2:F$731,$A$2:$A$731)*$A497+INTERCEPT(F$2:F$731,$A$2:$A$731)</f>
        <v/>
      </c>
      <c r="J497" s="6" t="inlineStr">
        <is>
          <t>yes</t>
        </is>
      </c>
    </row>
    <row r="498">
      <c r="A498" s="2" t="n">
        <v>45788</v>
      </c>
      <c r="B498" s="3" t="n">
        <v>84.95999999999999</v>
      </c>
      <c r="C498" s="4">
        <f>B498/B$2*100</f>
        <v/>
      </c>
      <c r="D498" s="5">
        <f>AVERAGE(B469:B498)</f>
        <v/>
      </c>
      <c r="E498" s="5">
        <f>SLOPE(B$2:B$731,$A$2:$A$731)*$A498+INTERCEPT(B$2:B$731,$A$2:$A$731)</f>
        <v/>
      </c>
      <c r="F498" s="3" t="n">
        <v>0.79</v>
      </c>
      <c r="G498" s="4">
        <f>F498/F$2*100</f>
        <v/>
      </c>
      <c r="H498" s="5">
        <f>AVERAGE(F469:F498)</f>
        <v/>
      </c>
      <c r="I498" s="5">
        <f>SLOPE(F$2:F$731,$A$2:$A$731)*$A498+INTERCEPT(F$2:F$731,$A$2:$A$731)</f>
        <v/>
      </c>
      <c r="J498" s="6" t="inlineStr">
        <is>
          <t>yes</t>
        </is>
      </c>
    </row>
    <row r="499">
      <c r="A499" s="2" t="n">
        <v>45789</v>
      </c>
      <c r="B499" s="3" t="n">
        <v>84.97</v>
      </c>
      <c r="C499" s="4">
        <f>B499/B$2*100</f>
        <v/>
      </c>
      <c r="D499" s="5">
        <f>AVERAGE(B470:B499)</f>
        <v/>
      </c>
      <c r="E499" s="5">
        <f>SLOPE(B$2:B$731,$A$2:$A$731)*$A499+INTERCEPT(B$2:B$731,$A$2:$A$731)</f>
        <v/>
      </c>
      <c r="F499" s="3" t="n">
        <v>0.79</v>
      </c>
      <c r="G499" s="4">
        <f>F499/F$2*100</f>
        <v/>
      </c>
      <c r="H499" s="5">
        <f>AVERAGE(F470:F499)</f>
        <v/>
      </c>
      <c r="I499" s="5">
        <f>SLOPE(F$2:F$731,$A$2:$A$731)*$A499+INTERCEPT(F$2:F$731,$A$2:$A$731)</f>
        <v/>
      </c>
      <c r="J499" s="6" t="inlineStr"/>
    </row>
    <row r="500">
      <c r="A500" s="2" t="n">
        <v>45790</v>
      </c>
      <c r="B500" s="3" t="n">
        <v>84.98</v>
      </c>
      <c r="C500" s="4">
        <f>B500/B$2*100</f>
        <v/>
      </c>
      <c r="D500" s="5">
        <f>AVERAGE(B471:B500)</f>
        <v/>
      </c>
      <c r="E500" s="5">
        <f>SLOPE(B$2:B$731,$A$2:$A$731)*$A500+INTERCEPT(B$2:B$731,$A$2:$A$731)</f>
        <v/>
      </c>
      <c r="F500" s="3" t="n">
        <v>0.79</v>
      </c>
      <c r="G500" s="4">
        <f>F500/F$2*100</f>
        <v/>
      </c>
      <c r="H500" s="5">
        <f>AVERAGE(F471:F500)</f>
        <v/>
      </c>
      <c r="I500" s="5">
        <f>SLOPE(F$2:F$731,$A$2:$A$731)*$A500+INTERCEPT(F$2:F$731,$A$2:$A$731)</f>
        <v/>
      </c>
      <c r="J500" s="6" t="inlineStr"/>
    </row>
    <row r="501">
      <c r="A501" s="2" t="n">
        <v>45791</v>
      </c>
      <c r="B501" s="3" t="n">
        <v>84.98999999999999</v>
      </c>
      <c r="C501" s="4">
        <f>B501/B$2*100</f>
        <v/>
      </c>
      <c r="D501" s="5">
        <f>AVERAGE(B472:B501)</f>
        <v/>
      </c>
      <c r="E501" s="5">
        <f>SLOPE(B$2:B$731,$A$2:$A$731)*$A501+INTERCEPT(B$2:B$731,$A$2:$A$731)</f>
        <v/>
      </c>
      <c r="F501" s="3" t="n">
        <v>0.79</v>
      </c>
      <c r="G501" s="4">
        <f>F501/F$2*100</f>
        <v/>
      </c>
      <c r="H501" s="5">
        <f>AVERAGE(F472:F501)</f>
        <v/>
      </c>
      <c r="I501" s="5">
        <f>SLOPE(F$2:F$731,$A$2:$A$731)*$A501+INTERCEPT(F$2:F$731,$A$2:$A$731)</f>
        <v/>
      </c>
      <c r="J501" s="6" t="inlineStr"/>
    </row>
    <row r="502">
      <c r="A502" s="2" t="n">
        <v>45792</v>
      </c>
      <c r="B502" s="3" t="n">
        <v>85</v>
      </c>
      <c r="C502" s="4">
        <f>B502/B$2*100</f>
        <v/>
      </c>
      <c r="D502" s="5">
        <f>AVERAGE(B473:B502)</f>
        <v/>
      </c>
      <c r="E502" s="5">
        <f>SLOPE(B$2:B$731,$A$2:$A$731)*$A502+INTERCEPT(B$2:B$731,$A$2:$A$731)</f>
        <v/>
      </c>
      <c r="F502" s="3" t="n">
        <v>0.79</v>
      </c>
      <c r="G502" s="4">
        <f>F502/F$2*100</f>
        <v/>
      </c>
      <c r="H502" s="5">
        <f>AVERAGE(F473:F502)</f>
        <v/>
      </c>
      <c r="I502" s="5">
        <f>SLOPE(F$2:F$731,$A$2:$A$731)*$A502+INTERCEPT(F$2:F$731,$A$2:$A$731)</f>
        <v/>
      </c>
      <c r="J502" s="6" t="inlineStr"/>
    </row>
    <row r="503">
      <c r="A503" s="2" t="n">
        <v>45793</v>
      </c>
      <c r="B503" s="3" t="n">
        <v>85.01000000000001</v>
      </c>
      <c r="C503" s="4">
        <f>B503/B$2*100</f>
        <v/>
      </c>
      <c r="D503" s="5">
        <f>AVERAGE(B474:B503)</f>
        <v/>
      </c>
      <c r="E503" s="5">
        <f>SLOPE(B$2:B$731,$A$2:$A$731)*$A503+INTERCEPT(B$2:B$731,$A$2:$A$731)</f>
        <v/>
      </c>
      <c r="F503" s="3" t="n">
        <v>0.79</v>
      </c>
      <c r="G503" s="4">
        <f>F503/F$2*100</f>
        <v/>
      </c>
      <c r="H503" s="5">
        <f>AVERAGE(F474:F503)</f>
        <v/>
      </c>
      <c r="I503" s="5">
        <f>SLOPE(F$2:F$731,$A$2:$A$731)*$A503+INTERCEPT(F$2:F$731,$A$2:$A$731)</f>
        <v/>
      </c>
      <c r="J503" s="6" t="inlineStr"/>
    </row>
    <row r="504">
      <c r="A504" s="2" t="n">
        <v>45794</v>
      </c>
      <c r="B504" s="3" t="n">
        <v>85.02</v>
      </c>
      <c r="C504" s="4">
        <f>B504/B$2*100</f>
        <v/>
      </c>
      <c r="D504" s="5">
        <f>AVERAGE(B475:B504)</f>
        <v/>
      </c>
      <c r="E504" s="5">
        <f>SLOPE(B$2:B$731,$A$2:$A$731)*$A504+INTERCEPT(B$2:B$731,$A$2:$A$731)</f>
        <v/>
      </c>
      <c r="F504" s="3" t="n">
        <v>0.79</v>
      </c>
      <c r="G504" s="4">
        <f>F504/F$2*100</f>
        <v/>
      </c>
      <c r="H504" s="5">
        <f>AVERAGE(F475:F504)</f>
        <v/>
      </c>
      <c r="I504" s="5">
        <f>SLOPE(F$2:F$731,$A$2:$A$731)*$A504+INTERCEPT(F$2:F$731,$A$2:$A$731)</f>
        <v/>
      </c>
      <c r="J504" s="6" t="inlineStr">
        <is>
          <t>yes</t>
        </is>
      </c>
    </row>
    <row r="505">
      <c r="A505" s="2" t="n">
        <v>45795</v>
      </c>
      <c r="B505" s="3" t="n">
        <v>85.03</v>
      </c>
      <c r="C505" s="4">
        <f>B505/B$2*100</f>
        <v/>
      </c>
      <c r="D505" s="5">
        <f>AVERAGE(B476:B505)</f>
        <v/>
      </c>
      <c r="E505" s="5">
        <f>SLOPE(B$2:B$731,$A$2:$A$731)*$A505+INTERCEPT(B$2:B$731,$A$2:$A$731)</f>
        <v/>
      </c>
      <c r="F505" s="3" t="n">
        <v>0.79</v>
      </c>
      <c r="G505" s="4">
        <f>F505/F$2*100</f>
        <v/>
      </c>
      <c r="H505" s="5">
        <f>AVERAGE(F476:F505)</f>
        <v/>
      </c>
      <c r="I505" s="5">
        <f>SLOPE(F$2:F$731,$A$2:$A$731)*$A505+INTERCEPT(F$2:F$731,$A$2:$A$731)</f>
        <v/>
      </c>
      <c r="J505" s="6" t="inlineStr">
        <is>
          <t>yes</t>
        </is>
      </c>
    </row>
    <row r="506">
      <c r="A506" s="2" t="n">
        <v>45796</v>
      </c>
      <c r="B506" s="3" t="n">
        <v>85.04000000000001</v>
      </c>
      <c r="C506" s="4">
        <f>B506/B$2*100</f>
        <v/>
      </c>
      <c r="D506" s="5">
        <f>AVERAGE(B477:B506)</f>
        <v/>
      </c>
      <c r="E506" s="5">
        <f>SLOPE(B$2:B$731,$A$2:$A$731)*$A506+INTERCEPT(B$2:B$731,$A$2:$A$731)</f>
        <v/>
      </c>
      <c r="F506" s="3" t="n">
        <v>0.79</v>
      </c>
      <c r="G506" s="4">
        <f>F506/F$2*100</f>
        <v/>
      </c>
      <c r="H506" s="5">
        <f>AVERAGE(F477:F506)</f>
        <v/>
      </c>
      <c r="I506" s="5">
        <f>SLOPE(F$2:F$731,$A$2:$A$731)*$A506+INTERCEPT(F$2:F$731,$A$2:$A$731)</f>
        <v/>
      </c>
      <c r="J506" s="6" t="inlineStr"/>
    </row>
    <row r="507">
      <c r="A507" s="2" t="n">
        <v>45797</v>
      </c>
      <c r="B507" s="3" t="n">
        <v>85.05</v>
      </c>
      <c r="C507" s="4">
        <f>B507/B$2*100</f>
        <v/>
      </c>
      <c r="D507" s="5">
        <f>AVERAGE(B478:B507)</f>
        <v/>
      </c>
      <c r="E507" s="5">
        <f>SLOPE(B$2:B$731,$A$2:$A$731)*$A507+INTERCEPT(B$2:B$731,$A$2:$A$731)</f>
        <v/>
      </c>
      <c r="F507" s="3" t="n">
        <v>0.79</v>
      </c>
      <c r="G507" s="4">
        <f>F507/F$2*100</f>
        <v/>
      </c>
      <c r="H507" s="5">
        <f>AVERAGE(F478:F507)</f>
        <v/>
      </c>
      <c r="I507" s="5">
        <f>SLOPE(F$2:F$731,$A$2:$A$731)*$A507+INTERCEPT(F$2:F$731,$A$2:$A$731)</f>
        <v/>
      </c>
      <c r="J507" s="6" t="inlineStr"/>
    </row>
    <row r="508">
      <c r="A508" s="2" t="n">
        <v>45798</v>
      </c>
      <c r="B508" s="3" t="n">
        <v>85.06</v>
      </c>
      <c r="C508" s="4">
        <f>B508/B$2*100</f>
        <v/>
      </c>
      <c r="D508" s="5">
        <f>AVERAGE(B479:B508)</f>
        <v/>
      </c>
      <c r="E508" s="5">
        <f>SLOPE(B$2:B$731,$A$2:$A$731)*$A508+INTERCEPT(B$2:B$731,$A$2:$A$731)</f>
        <v/>
      </c>
      <c r="F508" s="3" t="n">
        <v>0.79</v>
      </c>
      <c r="G508" s="4">
        <f>F508/F$2*100</f>
        <v/>
      </c>
      <c r="H508" s="5">
        <f>AVERAGE(F479:F508)</f>
        <v/>
      </c>
      <c r="I508" s="5">
        <f>SLOPE(F$2:F$731,$A$2:$A$731)*$A508+INTERCEPT(F$2:F$731,$A$2:$A$731)</f>
        <v/>
      </c>
      <c r="J508" s="6" t="inlineStr"/>
    </row>
    <row r="509">
      <c r="A509" s="2" t="n">
        <v>45799</v>
      </c>
      <c r="B509" s="3" t="n">
        <v>85.06999999999999</v>
      </c>
      <c r="C509" s="4">
        <f>B509/B$2*100</f>
        <v/>
      </c>
      <c r="D509" s="5">
        <f>AVERAGE(B480:B509)</f>
        <v/>
      </c>
      <c r="E509" s="5">
        <f>SLOPE(B$2:B$731,$A$2:$A$731)*$A509+INTERCEPT(B$2:B$731,$A$2:$A$731)</f>
        <v/>
      </c>
      <c r="F509" s="3" t="n">
        <v>0.79</v>
      </c>
      <c r="G509" s="4">
        <f>F509/F$2*100</f>
        <v/>
      </c>
      <c r="H509" s="5">
        <f>AVERAGE(F480:F509)</f>
        <v/>
      </c>
      <c r="I509" s="5">
        <f>SLOPE(F$2:F$731,$A$2:$A$731)*$A509+INTERCEPT(F$2:F$731,$A$2:$A$731)</f>
        <v/>
      </c>
      <c r="J509" s="6" t="inlineStr"/>
    </row>
    <row r="510">
      <c r="A510" s="2" t="n">
        <v>45800</v>
      </c>
      <c r="B510" s="3" t="n">
        <v>85.08</v>
      </c>
      <c r="C510" s="4">
        <f>B510/B$2*100</f>
        <v/>
      </c>
      <c r="D510" s="5">
        <f>AVERAGE(B481:B510)</f>
        <v/>
      </c>
      <c r="E510" s="5">
        <f>SLOPE(B$2:B$731,$A$2:$A$731)*$A510+INTERCEPT(B$2:B$731,$A$2:$A$731)</f>
        <v/>
      </c>
      <c r="F510" s="3" t="n">
        <v>0.79</v>
      </c>
      <c r="G510" s="4">
        <f>F510/F$2*100</f>
        <v/>
      </c>
      <c r="H510" s="5">
        <f>AVERAGE(F481:F510)</f>
        <v/>
      </c>
      <c r="I510" s="5">
        <f>SLOPE(F$2:F$731,$A$2:$A$731)*$A510+INTERCEPT(F$2:F$731,$A$2:$A$731)</f>
        <v/>
      </c>
      <c r="J510" s="6" t="inlineStr"/>
    </row>
    <row r="511">
      <c r="A511" s="2" t="n">
        <v>45801</v>
      </c>
      <c r="B511" s="3" t="n">
        <v>85.09</v>
      </c>
      <c r="C511" s="4">
        <f>B511/B$2*100</f>
        <v/>
      </c>
      <c r="D511" s="5">
        <f>AVERAGE(B482:B511)</f>
        <v/>
      </c>
      <c r="E511" s="5">
        <f>SLOPE(B$2:B$731,$A$2:$A$731)*$A511+INTERCEPT(B$2:B$731,$A$2:$A$731)</f>
        <v/>
      </c>
      <c r="F511" s="3" t="n">
        <v>0.79</v>
      </c>
      <c r="G511" s="4">
        <f>F511/F$2*100</f>
        <v/>
      </c>
      <c r="H511" s="5">
        <f>AVERAGE(F482:F511)</f>
        <v/>
      </c>
      <c r="I511" s="5">
        <f>SLOPE(F$2:F$731,$A$2:$A$731)*$A511+INTERCEPT(F$2:F$731,$A$2:$A$731)</f>
        <v/>
      </c>
      <c r="J511" s="6" t="inlineStr">
        <is>
          <t>yes</t>
        </is>
      </c>
    </row>
    <row r="512">
      <c r="A512" s="2" t="n">
        <v>45802</v>
      </c>
      <c r="B512" s="3" t="n">
        <v>85.09999999999999</v>
      </c>
      <c r="C512" s="4">
        <f>B512/B$2*100</f>
        <v/>
      </c>
      <c r="D512" s="5">
        <f>AVERAGE(B483:B512)</f>
        <v/>
      </c>
      <c r="E512" s="5">
        <f>SLOPE(B$2:B$731,$A$2:$A$731)*$A512+INTERCEPT(B$2:B$731,$A$2:$A$731)</f>
        <v/>
      </c>
      <c r="F512" s="3" t="n">
        <v>0.79</v>
      </c>
      <c r="G512" s="4">
        <f>F512/F$2*100</f>
        <v/>
      </c>
      <c r="H512" s="5">
        <f>AVERAGE(F483:F512)</f>
        <v/>
      </c>
      <c r="I512" s="5">
        <f>SLOPE(F$2:F$731,$A$2:$A$731)*$A512+INTERCEPT(F$2:F$731,$A$2:$A$731)</f>
        <v/>
      </c>
      <c r="J512" s="6" t="inlineStr">
        <is>
          <t>yes</t>
        </is>
      </c>
    </row>
    <row r="513">
      <c r="A513" s="2" t="n">
        <v>45803</v>
      </c>
      <c r="B513" s="3" t="n">
        <v>85.11</v>
      </c>
      <c r="C513" s="4">
        <f>B513/B$2*100</f>
        <v/>
      </c>
      <c r="D513" s="5">
        <f>AVERAGE(B484:B513)</f>
        <v/>
      </c>
      <c r="E513" s="5">
        <f>SLOPE(B$2:B$731,$A$2:$A$731)*$A513+INTERCEPT(B$2:B$731,$A$2:$A$731)</f>
        <v/>
      </c>
      <c r="F513" s="3" t="n">
        <v>0.79</v>
      </c>
      <c r="G513" s="4">
        <f>F513/F$2*100</f>
        <v/>
      </c>
      <c r="H513" s="5">
        <f>AVERAGE(F484:F513)</f>
        <v/>
      </c>
      <c r="I513" s="5">
        <f>SLOPE(F$2:F$731,$A$2:$A$731)*$A513+INTERCEPT(F$2:F$731,$A$2:$A$731)</f>
        <v/>
      </c>
      <c r="J513" s="6" t="inlineStr"/>
    </row>
    <row r="514">
      <c r="A514" s="2" t="n">
        <v>45804</v>
      </c>
      <c r="B514" s="3" t="n">
        <v>85.12</v>
      </c>
      <c r="C514" s="4">
        <f>B514/B$2*100</f>
        <v/>
      </c>
      <c r="D514" s="5">
        <f>AVERAGE(B485:B514)</f>
        <v/>
      </c>
      <c r="E514" s="5">
        <f>SLOPE(B$2:B$731,$A$2:$A$731)*$A514+INTERCEPT(B$2:B$731,$A$2:$A$731)</f>
        <v/>
      </c>
      <c r="F514" s="3" t="n">
        <v>0.79</v>
      </c>
      <c r="G514" s="4">
        <f>F514/F$2*100</f>
        <v/>
      </c>
      <c r="H514" s="5">
        <f>AVERAGE(F485:F514)</f>
        <v/>
      </c>
      <c r="I514" s="5">
        <f>SLOPE(F$2:F$731,$A$2:$A$731)*$A514+INTERCEPT(F$2:F$731,$A$2:$A$731)</f>
        <v/>
      </c>
      <c r="J514" s="6" t="inlineStr"/>
    </row>
    <row r="515">
      <c r="A515" s="2" t="n">
        <v>45805</v>
      </c>
      <c r="B515" s="3" t="n">
        <v>85.13</v>
      </c>
      <c r="C515" s="4">
        <f>B515/B$2*100</f>
        <v/>
      </c>
      <c r="D515" s="5">
        <f>AVERAGE(B486:B515)</f>
        <v/>
      </c>
      <c r="E515" s="5">
        <f>SLOPE(B$2:B$731,$A$2:$A$731)*$A515+INTERCEPT(B$2:B$731,$A$2:$A$731)</f>
        <v/>
      </c>
      <c r="F515" s="3" t="n">
        <v>0.79</v>
      </c>
      <c r="G515" s="4">
        <f>F515/F$2*100</f>
        <v/>
      </c>
      <c r="H515" s="5">
        <f>AVERAGE(F486:F515)</f>
        <v/>
      </c>
      <c r="I515" s="5">
        <f>SLOPE(F$2:F$731,$A$2:$A$731)*$A515+INTERCEPT(F$2:F$731,$A$2:$A$731)</f>
        <v/>
      </c>
      <c r="J515" s="6" t="inlineStr"/>
    </row>
    <row r="516">
      <c r="A516" s="2" t="n">
        <v>45806</v>
      </c>
      <c r="B516" s="3" t="n">
        <v>85.14</v>
      </c>
      <c r="C516" s="4">
        <f>B516/B$2*100</f>
        <v/>
      </c>
      <c r="D516" s="5">
        <f>AVERAGE(B487:B516)</f>
        <v/>
      </c>
      <c r="E516" s="5">
        <f>SLOPE(B$2:B$731,$A$2:$A$731)*$A516+INTERCEPT(B$2:B$731,$A$2:$A$731)</f>
        <v/>
      </c>
      <c r="F516" s="3" t="n">
        <v>0.79</v>
      </c>
      <c r="G516" s="4">
        <f>F516/F$2*100</f>
        <v/>
      </c>
      <c r="H516" s="5">
        <f>AVERAGE(F487:F516)</f>
        <v/>
      </c>
      <c r="I516" s="5">
        <f>SLOPE(F$2:F$731,$A$2:$A$731)*$A516+INTERCEPT(F$2:F$731,$A$2:$A$731)</f>
        <v/>
      </c>
      <c r="J516" s="6" t="inlineStr"/>
    </row>
    <row r="517">
      <c r="A517" s="2" t="n">
        <v>45807</v>
      </c>
      <c r="B517" s="3" t="n">
        <v>85.15000000000001</v>
      </c>
      <c r="C517" s="4">
        <f>B517/B$2*100</f>
        <v/>
      </c>
      <c r="D517" s="5">
        <f>AVERAGE(B488:B517)</f>
        <v/>
      </c>
      <c r="E517" s="5">
        <f>SLOPE(B$2:B$731,$A$2:$A$731)*$A517+INTERCEPT(B$2:B$731,$A$2:$A$731)</f>
        <v/>
      </c>
      <c r="F517" s="3" t="n">
        <v>0.79</v>
      </c>
      <c r="G517" s="4">
        <f>F517/F$2*100</f>
        <v/>
      </c>
      <c r="H517" s="5">
        <f>AVERAGE(F488:F517)</f>
        <v/>
      </c>
      <c r="I517" s="5">
        <f>SLOPE(F$2:F$731,$A$2:$A$731)*$A517+INTERCEPT(F$2:F$731,$A$2:$A$731)</f>
        <v/>
      </c>
      <c r="J517" s="6" t="inlineStr"/>
    </row>
    <row r="518">
      <c r="A518" s="2" t="n">
        <v>45808</v>
      </c>
      <c r="B518" s="3" t="n">
        <v>85.16</v>
      </c>
      <c r="C518" s="4">
        <f>B518/B$2*100</f>
        <v/>
      </c>
      <c r="D518" s="5">
        <f>AVERAGE(B489:B518)</f>
        <v/>
      </c>
      <c r="E518" s="5">
        <f>SLOPE(B$2:B$731,$A$2:$A$731)*$A518+INTERCEPT(B$2:B$731,$A$2:$A$731)</f>
        <v/>
      </c>
      <c r="F518" s="3" t="n">
        <v>0.79</v>
      </c>
      <c r="G518" s="4">
        <f>F518/F$2*100</f>
        <v/>
      </c>
      <c r="H518" s="5">
        <f>AVERAGE(F489:F518)</f>
        <v/>
      </c>
      <c r="I518" s="5">
        <f>SLOPE(F$2:F$731,$A$2:$A$731)*$A518+INTERCEPT(F$2:F$731,$A$2:$A$731)</f>
        <v/>
      </c>
      <c r="J518" s="6" t="inlineStr">
        <is>
          <t>yes</t>
        </is>
      </c>
    </row>
    <row r="519">
      <c r="A519" s="2" t="n">
        <v>45809</v>
      </c>
      <c r="B519" s="3" t="n">
        <v>85.17</v>
      </c>
      <c r="C519" s="4">
        <f>B519/B$2*100</f>
        <v/>
      </c>
      <c r="D519" s="5">
        <f>AVERAGE(B490:B519)</f>
        <v/>
      </c>
      <c r="E519" s="5">
        <f>SLOPE(B$2:B$731,$A$2:$A$731)*$A519+INTERCEPT(B$2:B$731,$A$2:$A$731)</f>
        <v/>
      </c>
      <c r="F519" s="3" t="n">
        <v>0.79</v>
      </c>
      <c r="G519" s="4">
        <f>F519/F$2*100</f>
        <v/>
      </c>
      <c r="H519" s="5">
        <f>AVERAGE(F490:F519)</f>
        <v/>
      </c>
      <c r="I519" s="5">
        <f>SLOPE(F$2:F$731,$A$2:$A$731)*$A519+INTERCEPT(F$2:F$731,$A$2:$A$731)</f>
        <v/>
      </c>
      <c r="J519" s="6" t="inlineStr">
        <is>
          <t>yes</t>
        </is>
      </c>
    </row>
    <row r="520">
      <c r="A520" s="2" t="n">
        <v>45810</v>
      </c>
      <c r="B520" s="3" t="n">
        <v>85.18000000000001</v>
      </c>
      <c r="C520" s="4">
        <f>B520/B$2*100</f>
        <v/>
      </c>
      <c r="D520" s="5">
        <f>AVERAGE(B491:B520)</f>
        <v/>
      </c>
      <c r="E520" s="5">
        <f>SLOPE(B$2:B$731,$A$2:$A$731)*$A520+INTERCEPT(B$2:B$731,$A$2:$A$731)</f>
        <v/>
      </c>
      <c r="F520" s="3" t="n">
        <v>0.79</v>
      </c>
      <c r="G520" s="4">
        <f>F520/F$2*100</f>
        <v/>
      </c>
      <c r="H520" s="5">
        <f>AVERAGE(F491:F520)</f>
        <v/>
      </c>
      <c r="I520" s="5">
        <f>SLOPE(F$2:F$731,$A$2:$A$731)*$A520+INTERCEPT(F$2:F$731,$A$2:$A$731)</f>
        <v/>
      </c>
      <c r="J520" s="6" t="inlineStr"/>
    </row>
    <row r="521">
      <c r="A521" s="2" t="n">
        <v>45811</v>
      </c>
      <c r="B521" s="3" t="n">
        <v>85.19</v>
      </c>
      <c r="C521" s="4">
        <f>B521/B$2*100</f>
        <v/>
      </c>
      <c r="D521" s="5">
        <f>AVERAGE(B492:B521)</f>
        <v/>
      </c>
      <c r="E521" s="5">
        <f>SLOPE(B$2:B$731,$A$2:$A$731)*$A521+INTERCEPT(B$2:B$731,$A$2:$A$731)</f>
        <v/>
      </c>
      <c r="F521" s="3" t="n">
        <v>0.79</v>
      </c>
      <c r="G521" s="4">
        <f>F521/F$2*100</f>
        <v/>
      </c>
      <c r="H521" s="5">
        <f>AVERAGE(F492:F521)</f>
        <v/>
      </c>
      <c r="I521" s="5">
        <f>SLOPE(F$2:F$731,$A$2:$A$731)*$A521+INTERCEPT(F$2:F$731,$A$2:$A$731)</f>
        <v/>
      </c>
      <c r="J521" s="6" t="inlineStr"/>
    </row>
    <row r="522">
      <c r="A522" s="2" t="n">
        <v>45812</v>
      </c>
      <c r="B522" s="3" t="n">
        <v>85.2</v>
      </c>
      <c r="C522" s="4">
        <f>B522/B$2*100</f>
        <v/>
      </c>
      <c r="D522" s="5">
        <f>AVERAGE(B493:B522)</f>
        <v/>
      </c>
      <c r="E522" s="5">
        <f>SLOPE(B$2:B$731,$A$2:$A$731)*$A522+INTERCEPT(B$2:B$731,$A$2:$A$731)</f>
        <v/>
      </c>
      <c r="F522" s="3" t="n">
        <v>0.79</v>
      </c>
      <c r="G522" s="4">
        <f>F522/F$2*100</f>
        <v/>
      </c>
      <c r="H522" s="5">
        <f>AVERAGE(F493:F522)</f>
        <v/>
      </c>
      <c r="I522" s="5">
        <f>SLOPE(F$2:F$731,$A$2:$A$731)*$A522+INTERCEPT(F$2:F$731,$A$2:$A$731)</f>
        <v/>
      </c>
      <c r="J522" s="6" t="inlineStr"/>
    </row>
    <row r="523">
      <c r="A523" s="2" t="n">
        <v>45813</v>
      </c>
      <c r="B523" s="3" t="n">
        <v>85.20999999999999</v>
      </c>
      <c r="C523" s="4">
        <f>B523/B$2*100</f>
        <v/>
      </c>
      <c r="D523" s="5">
        <f>AVERAGE(B494:B523)</f>
        <v/>
      </c>
      <c r="E523" s="5">
        <f>SLOPE(B$2:B$731,$A$2:$A$731)*$A523+INTERCEPT(B$2:B$731,$A$2:$A$731)</f>
        <v/>
      </c>
      <c r="F523" s="3" t="n">
        <v>0.79</v>
      </c>
      <c r="G523" s="4">
        <f>F523/F$2*100</f>
        <v/>
      </c>
      <c r="H523" s="5">
        <f>AVERAGE(F494:F523)</f>
        <v/>
      </c>
      <c r="I523" s="5">
        <f>SLOPE(F$2:F$731,$A$2:$A$731)*$A523+INTERCEPT(F$2:F$731,$A$2:$A$731)</f>
        <v/>
      </c>
      <c r="J523" s="6" t="inlineStr"/>
    </row>
    <row r="524">
      <c r="A524" s="2" t="n">
        <v>45814</v>
      </c>
      <c r="B524" s="3" t="n">
        <v>85.22</v>
      </c>
      <c r="C524" s="4">
        <f>B524/B$2*100</f>
        <v/>
      </c>
      <c r="D524" s="5">
        <f>AVERAGE(B495:B524)</f>
        <v/>
      </c>
      <c r="E524" s="5">
        <f>SLOPE(B$2:B$731,$A$2:$A$731)*$A524+INTERCEPT(B$2:B$731,$A$2:$A$731)</f>
        <v/>
      </c>
      <c r="F524" s="3" t="n">
        <v>0.79</v>
      </c>
      <c r="G524" s="4">
        <f>F524/F$2*100</f>
        <v/>
      </c>
      <c r="H524" s="5">
        <f>AVERAGE(F495:F524)</f>
        <v/>
      </c>
      <c r="I524" s="5">
        <f>SLOPE(F$2:F$731,$A$2:$A$731)*$A524+INTERCEPT(F$2:F$731,$A$2:$A$731)</f>
        <v/>
      </c>
      <c r="J524" s="6" t="inlineStr"/>
    </row>
    <row r="525">
      <c r="A525" s="2" t="n">
        <v>45815</v>
      </c>
      <c r="B525" s="3" t="n">
        <v>85.23</v>
      </c>
      <c r="C525" s="4">
        <f>B525/B$2*100</f>
        <v/>
      </c>
      <c r="D525" s="5">
        <f>AVERAGE(B496:B525)</f>
        <v/>
      </c>
      <c r="E525" s="5">
        <f>SLOPE(B$2:B$731,$A$2:$A$731)*$A525+INTERCEPT(B$2:B$731,$A$2:$A$731)</f>
        <v/>
      </c>
      <c r="F525" s="3" t="n">
        <v>0.79</v>
      </c>
      <c r="G525" s="4">
        <f>F525/F$2*100</f>
        <v/>
      </c>
      <c r="H525" s="5">
        <f>AVERAGE(F496:F525)</f>
        <v/>
      </c>
      <c r="I525" s="5">
        <f>SLOPE(F$2:F$731,$A$2:$A$731)*$A525+INTERCEPT(F$2:F$731,$A$2:$A$731)</f>
        <v/>
      </c>
      <c r="J525" s="6" t="inlineStr">
        <is>
          <t>yes</t>
        </is>
      </c>
    </row>
    <row r="526">
      <c r="A526" s="2" t="n">
        <v>45816</v>
      </c>
      <c r="B526" s="3" t="n">
        <v>85.23999999999999</v>
      </c>
      <c r="C526" s="4">
        <f>B526/B$2*100</f>
        <v/>
      </c>
      <c r="D526" s="5">
        <f>AVERAGE(B497:B526)</f>
        <v/>
      </c>
      <c r="E526" s="5">
        <f>SLOPE(B$2:B$731,$A$2:$A$731)*$A526+INTERCEPT(B$2:B$731,$A$2:$A$731)</f>
        <v/>
      </c>
      <c r="F526" s="3" t="n">
        <v>0.79</v>
      </c>
      <c r="G526" s="4">
        <f>F526/F$2*100</f>
        <v/>
      </c>
      <c r="H526" s="5">
        <f>AVERAGE(F497:F526)</f>
        <v/>
      </c>
      <c r="I526" s="5">
        <f>SLOPE(F$2:F$731,$A$2:$A$731)*$A526+INTERCEPT(F$2:F$731,$A$2:$A$731)</f>
        <v/>
      </c>
      <c r="J526" s="6" t="inlineStr">
        <is>
          <t>yes</t>
        </is>
      </c>
    </row>
    <row r="527">
      <c r="A527" s="2" t="n">
        <v>45817</v>
      </c>
      <c r="B527" s="3" t="n">
        <v>85.25</v>
      </c>
      <c r="C527" s="4">
        <f>B527/B$2*100</f>
        <v/>
      </c>
      <c r="D527" s="5">
        <f>AVERAGE(B498:B527)</f>
        <v/>
      </c>
      <c r="E527" s="5">
        <f>SLOPE(B$2:B$731,$A$2:$A$731)*$A527+INTERCEPT(B$2:B$731,$A$2:$A$731)</f>
        <v/>
      </c>
      <c r="F527" s="3" t="n">
        <v>0.79</v>
      </c>
      <c r="G527" s="4">
        <f>F527/F$2*100</f>
        <v/>
      </c>
      <c r="H527" s="5">
        <f>AVERAGE(F498:F527)</f>
        <v/>
      </c>
      <c r="I527" s="5">
        <f>SLOPE(F$2:F$731,$A$2:$A$731)*$A527+INTERCEPT(F$2:F$731,$A$2:$A$731)</f>
        <v/>
      </c>
      <c r="J527" s="6" t="inlineStr"/>
    </row>
    <row r="528">
      <c r="A528" s="2" t="n">
        <v>45818</v>
      </c>
      <c r="B528" s="3" t="n">
        <v>85.26000000000001</v>
      </c>
      <c r="C528" s="4">
        <f>B528/B$2*100</f>
        <v/>
      </c>
      <c r="D528" s="5">
        <f>AVERAGE(B499:B528)</f>
        <v/>
      </c>
      <c r="E528" s="5">
        <f>SLOPE(B$2:B$731,$A$2:$A$731)*$A528+INTERCEPT(B$2:B$731,$A$2:$A$731)</f>
        <v/>
      </c>
      <c r="F528" s="3" t="n">
        <v>0.79</v>
      </c>
      <c r="G528" s="4">
        <f>F528/F$2*100</f>
        <v/>
      </c>
      <c r="H528" s="5">
        <f>AVERAGE(F499:F528)</f>
        <v/>
      </c>
      <c r="I528" s="5">
        <f>SLOPE(F$2:F$731,$A$2:$A$731)*$A528+INTERCEPT(F$2:F$731,$A$2:$A$731)</f>
        <v/>
      </c>
      <c r="J528" s="6" t="inlineStr"/>
    </row>
    <row r="529">
      <c r="A529" s="2" t="n">
        <v>45819</v>
      </c>
      <c r="B529" s="3" t="n">
        <v>85.27</v>
      </c>
      <c r="C529" s="4">
        <f>B529/B$2*100</f>
        <v/>
      </c>
      <c r="D529" s="5">
        <f>AVERAGE(B500:B529)</f>
        <v/>
      </c>
      <c r="E529" s="5">
        <f>SLOPE(B$2:B$731,$A$2:$A$731)*$A529+INTERCEPT(B$2:B$731,$A$2:$A$731)</f>
        <v/>
      </c>
      <c r="F529" s="3" t="n">
        <v>0.79</v>
      </c>
      <c r="G529" s="4">
        <f>F529/F$2*100</f>
        <v/>
      </c>
      <c r="H529" s="5">
        <f>AVERAGE(F500:F529)</f>
        <v/>
      </c>
      <c r="I529" s="5">
        <f>SLOPE(F$2:F$731,$A$2:$A$731)*$A529+INTERCEPT(F$2:F$731,$A$2:$A$731)</f>
        <v/>
      </c>
      <c r="J529" s="6" t="inlineStr"/>
    </row>
    <row r="530">
      <c r="A530" s="2" t="n">
        <v>45820</v>
      </c>
      <c r="B530" s="3" t="n">
        <v>85.28</v>
      </c>
      <c r="C530" s="4">
        <f>B530/B$2*100</f>
        <v/>
      </c>
      <c r="D530" s="5">
        <f>AVERAGE(B501:B530)</f>
        <v/>
      </c>
      <c r="E530" s="5">
        <f>SLOPE(B$2:B$731,$A$2:$A$731)*$A530+INTERCEPT(B$2:B$731,$A$2:$A$731)</f>
        <v/>
      </c>
      <c r="F530" s="3" t="n">
        <v>0.79</v>
      </c>
      <c r="G530" s="4">
        <f>F530/F$2*100</f>
        <v/>
      </c>
      <c r="H530" s="5">
        <f>AVERAGE(F501:F530)</f>
        <v/>
      </c>
      <c r="I530" s="5">
        <f>SLOPE(F$2:F$731,$A$2:$A$731)*$A530+INTERCEPT(F$2:F$731,$A$2:$A$731)</f>
        <v/>
      </c>
      <c r="J530" s="6" t="inlineStr"/>
    </row>
    <row r="531">
      <c r="A531" s="2" t="n">
        <v>45821</v>
      </c>
      <c r="B531" s="3" t="n">
        <v>85.29000000000001</v>
      </c>
      <c r="C531" s="4">
        <f>B531/B$2*100</f>
        <v/>
      </c>
      <c r="D531" s="5">
        <f>AVERAGE(B502:B531)</f>
        <v/>
      </c>
      <c r="E531" s="5">
        <f>SLOPE(B$2:B$731,$A$2:$A$731)*$A531+INTERCEPT(B$2:B$731,$A$2:$A$731)</f>
        <v/>
      </c>
      <c r="F531" s="3" t="n">
        <v>0.79</v>
      </c>
      <c r="G531" s="4">
        <f>F531/F$2*100</f>
        <v/>
      </c>
      <c r="H531" s="5">
        <f>AVERAGE(F502:F531)</f>
        <v/>
      </c>
      <c r="I531" s="5">
        <f>SLOPE(F$2:F$731,$A$2:$A$731)*$A531+INTERCEPT(F$2:F$731,$A$2:$A$731)</f>
        <v/>
      </c>
      <c r="J531" s="6" t="inlineStr"/>
    </row>
    <row r="532">
      <c r="A532" s="2" t="n">
        <v>45822</v>
      </c>
      <c r="B532" s="3" t="n">
        <v>85.3</v>
      </c>
      <c r="C532" s="4">
        <f>B532/B$2*100</f>
        <v/>
      </c>
      <c r="D532" s="5">
        <f>AVERAGE(B503:B532)</f>
        <v/>
      </c>
      <c r="E532" s="5">
        <f>SLOPE(B$2:B$731,$A$2:$A$731)*$A532+INTERCEPT(B$2:B$731,$A$2:$A$731)</f>
        <v/>
      </c>
      <c r="F532" s="3" t="n">
        <v>0.79</v>
      </c>
      <c r="G532" s="4">
        <f>F532/F$2*100</f>
        <v/>
      </c>
      <c r="H532" s="5">
        <f>AVERAGE(F503:F532)</f>
        <v/>
      </c>
      <c r="I532" s="5">
        <f>SLOPE(F$2:F$731,$A$2:$A$731)*$A532+INTERCEPT(F$2:F$731,$A$2:$A$731)</f>
        <v/>
      </c>
      <c r="J532" s="6" t="inlineStr">
        <is>
          <t>yes</t>
        </is>
      </c>
    </row>
    <row r="533">
      <c r="A533" s="2" t="n">
        <v>45823</v>
      </c>
      <c r="B533" s="3" t="n">
        <v>85.31</v>
      </c>
      <c r="C533" s="4">
        <f>B533/B$2*100</f>
        <v/>
      </c>
      <c r="D533" s="5">
        <f>AVERAGE(B504:B533)</f>
        <v/>
      </c>
      <c r="E533" s="5">
        <f>SLOPE(B$2:B$731,$A$2:$A$731)*$A533+INTERCEPT(B$2:B$731,$A$2:$A$731)</f>
        <v/>
      </c>
      <c r="F533" s="3" t="n">
        <v>0.79</v>
      </c>
      <c r="G533" s="4">
        <f>F533/F$2*100</f>
        <v/>
      </c>
      <c r="H533" s="5">
        <f>AVERAGE(F504:F533)</f>
        <v/>
      </c>
      <c r="I533" s="5">
        <f>SLOPE(F$2:F$731,$A$2:$A$731)*$A533+INTERCEPT(F$2:F$731,$A$2:$A$731)</f>
        <v/>
      </c>
      <c r="J533" s="6" t="inlineStr">
        <is>
          <t>yes</t>
        </is>
      </c>
    </row>
    <row r="534">
      <c r="A534" s="2" t="n">
        <v>45824</v>
      </c>
      <c r="B534" s="3" t="n">
        <v>85.31999999999999</v>
      </c>
      <c r="C534" s="4">
        <f>B534/B$2*100</f>
        <v/>
      </c>
      <c r="D534" s="5">
        <f>AVERAGE(B505:B534)</f>
        <v/>
      </c>
      <c r="E534" s="5">
        <f>SLOPE(B$2:B$731,$A$2:$A$731)*$A534+INTERCEPT(B$2:B$731,$A$2:$A$731)</f>
        <v/>
      </c>
      <c r="F534" s="3" t="n">
        <v>0.79</v>
      </c>
      <c r="G534" s="4">
        <f>F534/F$2*100</f>
        <v/>
      </c>
      <c r="H534" s="5">
        <f>AVERAGE(F505:F534)</f>
        <v/>
      </c>
      <c r="I534" s="5">
        <f>SLOPE(F$2:F$731,$A$2:$A$731)*$A534+INTERCEPT(F$2:F$731,$A$2:$A$731)</f>
        <v/>
      </c>
      <c r="J534" s="6" t="inlineStr"/>
    </row>
    <row r="535">
      <c r="A535" s="2" t="n">
        <v>45825</v>
      </c>
      <c r="B535" s="3" t="n">
        <v>85.33</v>
      </c>
      <c r="C535" s="4">
        <f>B535/B$2*100</f>
        <v/>
      </c>
      <c r="D535" s="5">
        <f>AVERAGE(B506:B535)</f>
        <v/>
      </c>
      <c r="E535" s="5">
        <f>SLOPE(B$2:B$731,$A$2:$A$731)*$A535+INTERCEPT(B$2:B$731,$A$2:$A$731)</f>
        <v/>
      </c>
      <c r="F535" s="3" t="n">
        <v>0.79</v>
      </c>
      <c r="G535" s="4">
        <f>F535/F$2*100</f>
        <v/>
      </c>
      <c r="H535" s="5">
        <f>AVERAGE(F506:F535)</f>
        <v/>
      </c>
      <c r="I535" s="5">
        <f>SLOPE(F$2:F$731,$A$2:$A$731)*$A535+INTERCEPT(F$2:F$731,$A$2:$A$731)</f>
        <v/>
      </c>
      <c r="J535" s="6" t="inlineStr"/>
    </row>
    <row r="536">
      <c r="A536" s="2" t="n">
        <v>45826</v>
      </c>
      <c r="B536" s="3" t="n">
        <v>85.34</v>
      </c>
      <c r="C536" s="4">
        <f>B536/B$2*100</f>
        <v/>
      </c>
      <c r="D536" s="5">
        <f>AVERAGE(B507:B536)</f>
        <v/>
      </c>
      <c r="E536" s="5">
        <f>SLOPE(B$2:B$731,$A$2:$A$731)*$A536+INTERCEPT(B$2:B$731,$A$2:$A$731)</f>
        <v/>
      </c>
      <c r="F536" s="3" t="n">
        <v>0.79</v>
      </c>
      <c r="G536" s="4">
        <f>F536/F$2*100</f>
        <v/>
      </c>
      <c r="H536" s="5">
        <f>AVERAGE(F507:F536)</f>
        <v/>
      </c>
      <c r="I536" s="5">
        <f>SLOPE(F$2:F$731,$A$2:$A$731)*$A536+INTERCEPT(F$2:F$731,$A$2:$A$731)</f>
        <v/>
      </c>
      <c r="J536" s="6" t="inlineStr"/>
    </row>
    <row r="537">
      <c r="A537" s="2" t="n">
        <v>45827</v>
      </c>
      <c r="B537" s="3" t="n">
        <v>85.34999999999999</v>
      </c>
      <c r="C537" s="4">
        <f>B537/B$2*100</f>
        <v/>
      </c>
      <c r="D537" s="5">
        <f>AVERAGE(B508:B537)</f>
        <v/>
      </c>
      <c r="E537" s="5">
        <f>SLOPE(B$2:B$731,$A$2:$A$731)*$A537+INTERCEPT(B$2:B$731,$A$2:$A$731)</f>
        <v/>
      </c>
      <c r="F537" s="3" t="n">
        <v>0.79</v>
      </c>
      <c r="G537" s="4">
        <f>F537/F$2*100</f>
        <v/>
      </c>
      <c r="H537" s="5">
        <f>AVERAGE(F508:F537)</f>
        <v/>
      </c>
      <c r="I537" s="5">
        <f>SLOPE(F$2:F$731,$A$2:$A$731)*$A537+INTERCEPT(F$2:F$731,$A$2:$A$731)</f>
        <v/>
      </c>
      <c r="J537" s="6" t="inlineStr"/>
    </row>
    <row r="538">
      <c r="A538" s="2" t="n">
        <v>45828</v>
      </c>
      <c r="B538" s="3" t="n">
        <v>85.36</v>
      </c>
      <c r="C538" s="4">
        <f>B538/B$2*100</f>
        <v/>
      </c>
      <c r="D538" s="5">
        <f>AVERAGE(B509:B538)</f>
        <v/>
      </c>
      <c r="E538" s="5">
        <f>SLOPE(B$2:B$731,$A$2:$A$731)*$A538+INTERCEPT(B$2:B$731,$A$2:$A$731)</f>
        <v/>
      </c>
      <c r="F538" s="3" t="n">
        <v>0.79</v>
      </c>
      <c r="G538" s="4">
        <f>F538/F$2*100</f>
        <v/>
      </c>
      <c r="H538" s="5">
        <f>AVERAGE(F509:F538)</f>
        <v/>
      </c>
      <c r="I538" s="5">
        <f>SLOPE(F$2:F$731,$A$2:$A$731)*$A538+INTERCEPT(F$2:F$731,$A$2:$A$731)</f>
        <v/>
      </c>
      <c r="J538" s="6" t="inlineStr"/>
    </row>
    <row r="539">
      <c r="A539" s="2" t="n">
        <v>45829</v>
      </c>
      <c r="B539" s="3" t="n">
        <v>85.37</v>
      </c>
      <c r="C539" s="4">
        <f>B539/B$2*100</f>
        <v/>
      </c>
      <c r="D539" s="5">
        <f>AVERAGE(B510:B539)</f>
        <v/>
      </c>
      <c r="E539" s="5">
        <f>SLOPE(B$2:B$731,$A$2:$A$731)*$A539+INTERCEPT(B$2:B$731,$A$2:$A$731)</f>
        <v/>
      </c>
      <c r="F539" s="3" t="n">
        <v>0.79</v>
      </c>
      <c r="G539" s="4">
        <f>F539/F$2*100</f>
        <v/>
      </c>
      <c r="H539" s="5">
        <f>AVERAGE(F510:F539)</f>
        <v/>
      </c>
      <c r="I539" s="5">
        <f>SLOPE(F$2:F$731,$A$2:$A$731)*$A539+INTERCEPT(F$2:F$731,$A$2:$A$731)</f>
        <v/>
      </c>
      <c r="J539" s="6" t="inlineStr">
        <is>
          <t>yes</t>
        </is>
      </c>
    </row>
    <row r="540">
      <c r="A540" s="2" t="n">
        <v>45830</v>
      </c>
      <c r="B540" s="3" t="n">
        <v>85.38</v>
      </c>
      <c r="C540" s="4">
        <f>B540/B$2*100</f>
        <v/>
      </c>
      <c r="D540" s="5">
        <f>AVERAGE(B511:B540)</f>
        <v/>
      </c>
      <c r="E540" s="5">
        <f>SLOPE(B$2:B$731,$A$2:$A$731)*$A540+INTERCEPT(B$2:B$731,$A$2:$A$731)</f>
        <v/>
      </c>
      <c r="F540" s="3" t="n">
        <v>0.79</v>
      </c>
      <c r="G540" s="4">
        <f>F540/F$2*100</f>
        <v/>
      </c>
      <c r="H540" s="5">
        <f>AVERAGE(F511:F540)</f>
        <v/>
      </c>
      <c r="I540" s="5">
        <f>SLOPE(F$2:F$731,$A$2:$A$731)*$A540+INTERCEPT(F$2:F$731,$A$2:$A$731)</f>
        <v/>
      </c>
      <c r="J540" s="6" t="inlineStr">
        <is>
          <t>yes</t>
        </is>
      </c>
    </row>
    <row r="541">
      <c r="A541" s="2" t="n">
        <v>45831</v>
      </c>
      <c r="B541" s="3" t="n">
        <v>85.39</v>
      </c>
      <c r="C541" s="4">
        <f>B541/B$2*100</f>
        <v/>
      </c>
      <c r="D541" s="5">
        <f>AVERAGE(B512:B541)</f>
        <v/>
      </c>
      <c r="E541" s="5">
        <f>SLOPE(B$2:B$731,$A$2:$A$731)*$A541+INTERCEPT(B$2:B$731,$A$2:$A$731)</f>
        <v/>
      </c>
      <c r="F541" s="3" t="n">
        <v>0.79</v>
      </c>
      <c r="G541" s="4">
        <f>F541/F$2*100</f>
        <v/>
      </c>
      <c r="H541" s="5">
        <f>AVERAGE(F512:F541)</f>
        <v/>
      </c>
      <c r="I541" s="5">
        <f>SLOPE(F$2:F$731,$A$2:$A$731)*$A541+INTERCEPT(F$2:F$731,$A$2:$A$731)</f>
        <v/>
      </c>
      <c r="J541" s="6" t="inlineStr"/>
    </row>
    <row r="542">
      <c r="A542" s="2" t="n">
        <v>45832</v>
      </c>
      <c r="B542" s="3" t="n">
        <v>85.40000000000001</v>
      </c>
      <c r="C542" s="4">
        <f>B542/B$2*100</f>
        <v/>
      </c>
      <c r="D542" s="5">
        <f>AVERAGE(B513:B542)</f>
        <v/>
      </c>
      <c r="E542" s="5">
        <f>SLOPE(B$2:B$731,$A$2:$A$731)*$A542+INTERCEPT(B$2:B$731,$A$2:$A$731)</f>
        <v/>
      </c>
      <c r="F542" s="3" t="n">
        <v>0.79</v>
      </c>
      <c r="G542" s="4">
        <f>F542/F$2*100</f>
        <v/>
      </c>
      <c r="H542" s="5">
        <f>AVERAGE(F513:F542)</f>
        <v/>
      </c>
      <c r="I542" s="5">
        <f>SLOPE(F$2:F$731,$A$2:$A$731)*$A542+INTERCEPT(F$2:F$731,$A$2:$A$731)</f>
        <v/>
      </c>
      <c r="J542" s="6" t="inlineStr"/>
    </row>
    <row r="543">
      <c r="A543" s="2" t="n">
        <v>45833</v>
      </c>
      <c r="B543" s="3" t="n">
        <v>85.41</v>
      </c>
      <c r="C543" s="4">
        <f>B543/B$2*100</f>
        <v/>
      </c>
      <c r="D543" s="5">
        <f>AVERAGE(B514:B543)</f>
        <v/>
      </c>
      <c r="E543" s="5">
        <f>SLOPE(B$2:B$731,$A$2:$A$731)*$A543+INTERCEPT(B$2:B$731,$A$2:$A$731)</f>
        <v/>
      </c>
      <c r="F543" s="3" t="n">
        <v>0.79</v>
      </c>
      <c r="G543" s="4">
        <f>F543/F$2*100</f>
        <v/>
      </c>
      <c r="H543" s="5">
        <f>AVERAGE(F514:F543)</f>
        <v/>
      </c>
      <c r="I543" s="5">
        <f>SLOPE(F$2:F$731,$A$2:$A$731)*$A543+INTERCEPT(F$2:F$731,$A$2:$A$731)</f>
        <v/>
      </c>
      <c r="J543" s="6" t="inlineStr"/>
    </row>
    <row r="544">
      <c r="A544" s="2" t="n">
        <v>45834</v>
      </c>
      <c r="B544" s="3" t="n">
        <v>85.42</v>
      </c>
      <c r="C544" s="4">
        <f>B544/B$2*100</f>
        <v/>
      </c>
      <c r="D544" s="5">
        <f>AVERAGE(B515:B544)</f>
        <v/>
      </c>
      <c r="E544" s="5">
        <f>SLOPE(B$2:B$731,$A$2:$A$731)*$A544+INTERCEPT(B$2:B$731,$A$2:$A$731)</f>
        <v/>
      </c>
      <c r="F544" s="3" t="n">
        <v>0.79</v>
      </c>
      <c r="G544" s="4">
        <f>F544/F$2*100</f>
        <v/>
      </c>
      <c r="H544" s="5">
        <f>AVERAGE(F515:F544)</f>
        <v/>
      </c>
      <c r="I544" s="5">
        <f>SLOPE(F$2:F$731,$A$2:$A$731)*$A544+INTERCEPT(F$2:F$731,$A$2:$A$731)</f>
        <v/>
      </c>
      <c r="J544" s="6" t="inlineStr"/>
    </row>
    <row r="545">
      <c r="A545" s="2" t="n">
        <v>45835</v>
      </c>
      <c r="B545" s="3" t="n">
        <v>85.43000000000001</v>
      </c>
      <c r="C545" s="4">
        <f>B545/B$2*100</f>
        <v/>
      </c>
      <c r="D545" s="5">
        <f>AVERAGE(B516:B545)</f>
        <v/>
      </c>
      <c r="E545" s="5">
        <f>SLOPE(B$2:B$731,$A$2:$A$731)*$A545+INTERCEPT(B$2:B$731,$A$2:$A$731)</f>
        <v/>
      </c>
      <c r="F545" s="3" t="n">
        <v>0.79</v>
      </c>
      <c r="G545" s="4">
        <f>F545/F$2*100</f>
        <v/>
      </c>
      <c r="H545" s="5">
        <f>AVERAGE(F516:F545)</f>
        <v/>
      </c>
      <c r="I545" s="5">
        <f>SLOPE(F$2:F$731,$A$2:$A$731)*$A545+INTERCEPT(F$2:F$731,$A$2:$A$731)</f>
        <v/>
      </c>
      <c r="J545" s="6" t="inlineStr"/>
    </row>
    <row r="546">
      <c r="A546" s="2" t="n">
        <v>45836</v>
      </c>
      <c r="B546" s="3" t="n">
        <v>85.44</v>
      </c>
      <c r="C546" s="4">
        <f>B546/B$2*100</f>
        <v/>
      </c>
      <c r="D546" s="5">
        <f>AVERAGE(B517:B546)</f>
        <v/>
      </c>
      <c r="E546" s="5">
        <f>SLOPE(B$2:B$731,$A$2:$A$731)*$A546+INTERCEPT(B$2:B$731,$A$2:$A$731)</f>
        <v/>
      </c>
      <c r="F546" s="3" t="n">
        <v>0.79</v>
      </c>
      <c r="G546" s="4">
        <f>F546/F$2*100</f>
        <v/>
      </c>
      <c r="H546" s="5">
        <f>AVERAGE(F517:F546)</f>
        <v/>
      </c>
      <c r="I546" s="5">
        <f>SLOPE(F$2:F$731,$A$2:$A$731)*$A546+INTERCEPT(F$2:F$731,$A$2:$A$731)</f>
        <v/>
      </c>
      <c r="J546" s="6" t="inlineStr">
        <is>
          <t>yes</t>
        </is>
      </c>
    </row>
    <row r="547">
      <c r="A547" s="2" t="n">
        <v>45837</v>
      </c>
      <c r="B547" s="3" t="n">
        <v>85.45</v>
      </c>
      <c r="C547" s="4">
        <f>B547/B$2*100</f>
        <v/>
      </c>
      <c r="D547" s="5">
        <f>AVERAGE(B518:B547)</f>
        <v/>
      </c>
      <c r="E547" s="5">
        <f>SLOPE(B$2:B$731,$A$2:$A$731)*$A547+INTERCEPT(B$2:B$731,$A$2:$A$731)</f>
        <v/>
      </c>
      <c r="F547" s="3" t="n">
        <v>0.79</v>
      </c>
      <c r="G547" s="4">
        <f>F547/F$2*100</f>
        <v/>
      </c>
      <c r="H547" s="5">
        <f>AVERAGE(F518:F547)</f>
        <v/>
      </c>
      <c r="I547" s="5">
        <f>SLOPE(F$2:F$731,$A$2:$A$731)*$A547+INTERCEPT(F$2:F$731,$A$2:$A$731)</f>
        <v/>
      </c>
      <c r="J547" s="6" t="inlineStr">
        <is>
          <t>yes</t>
        </is>
      </c>
    </row>
    <row r="548">
      <c r="A548" s="2" t="n">
        <v>45838</v>
      </c>
      <c r="B548" s="3" t="n">
        <v>85.45999999999999</v>
      </c>
      <c r="C548" s="4">
        <f>B548/B$2*100</f>
        <v/>
      </c>
      <c r="D548" s="5">
        <f>AVERAGE(B519:B548)</f>
        <v/>
      </c>
      <c r="E548" s="5">
        <f>SLOPE(B$2:B$731,$A$2:$A$731)*$A548+INTERCEPT(B$2:B$731,$A$2:$A$731)</f>
        <v/>
      </c>
      <c r="F548" s="3" t="n">
        <v>0.79</v>
      </c>
      <c r="G548" s="4">
        <f>F548/F$2*100</f>
        <v/>
      </c>
      <c r="H548" s="5">
        <f>AVERAGE(F519:F548)</f>
        <v/>
      </c>
      <c r="I548" s="5">
        <f>SLOPE(F$2:F$731,$A$2:$A$731)*$A548+INTERCEPT(F$2:F$731,$A$2:$A$731)</f>
        <v/>
      </c>
      <c r="J548" s="6" t="inlineStr"/>
    </row>
    <row r="549">
      <c r="A549" s="2" t="n">
        <v>45839</v>
      </c>
      <c r="B549" s="3" t="n">
        <v>85.47</v>
      </c>
      <c r="C549" s="4">
        <f>B549/B$2*100</f>
        <v/>
      </c>
      <c r="D549" s="5">
        <f>AVERAGE(B520:B549)</f>
        <v/>
      </c>
      <c r="E549" s="5">
        <f>SLOPE(B$2:B$731,$A$2:$A$731)*$A549+INTERCEPT(B$2:B$731,$A$2:$A$731)</f>
        <v/>
      </c>
      <c r="F549" s="3" t="n">
        <v>0.79</v>
      </c>
      <c r="G549" s="4">
        <f>F549/F$2*100</f>
        <v/>
      </c>
      <c r="H549" s="5">
        <f>AVERAGE(F520:F549)</f>
        <v/>
      </c>
      <c r="I549" s="5">
        <f>SLOPE(F$2:F$731,$A$2:$A$731)*$A549+INTERCEPT(F$2:F$731,$A$2:$A$731)</f>
        <v/>
      </c>
      <c r="J549" s="6" t="inlineStr"/>
    </row>
    <row r="550">
      <c r="A550" s="2" t="n">
        <v>45840</v>
      </c>
      <c r="B550" s="3" t="n">
        <v>85.48</v>
      </c>
      <c r="C550" s="4">
        <f>B550/B$2*100</f>
        <v/>
      </c>
      <c r="D550" s="5">
        <f>AVERAGE(B521:B550)</f>
        <v/>
      </c>
      <c r="E550" s="5">
        <f>SLOPE(B$2:B$731,$A$2:$A$731)*$A550+INTERCEPT(B$2:B$731,$A$2:$A$731)</f>
        <v/>
      </c>
      <c r="F550" s="3" t="n">
        <v>0.79</v>
      </c>
      <c r="G550" s="4">
        <f>F550/F$2*100</f>
        <v/>
      </c>
      <c r="H550" s="5">
        <f>AVERAGE(F521:F550)</f>
        <v/>
      </c>
      <c r="I550" s="5">
        <f>SLOPE(F$2:F$731,$A$2:$A$731)*$A550+INTERCEPT(F$2:F$731,$A$2:$A$731)</f>
        <v/>
      </c>
      <c r="J550" s="6" t="inlineStr"/>
    </row>
    <row r="551">
      <c r="A551" s="2" t="n">
        <v>45841</v>
      </c>
      <c r="B551" s="3" t="n">
        <v>85.48999999999999</v>
      </c>
      <c r="C551" s="4">
        <f>B551/B$2*100</f>
        <v/>
      </c>
      <c r="D551" s="5">
        <f>AVERAGE(B522:B551)</f>
        <v/>
      </c>
      <c r="E551" s="5">
        <f>SLOPE(B$2:B$731,$A$2:$A$731)*$A551+INTERCEPT(B$2:B$731,$A$2:$A$731)</f>
        <v/>
      </c>
      <c r="F551" s="3" t="n">
        <v>0.79</v>
      </c>
      <c r="G551" s="4">
        <f>F551/F$2*100</f>
        <v/>
      </c>
      <c r="H551" s="5">
        <f>AVERAGE(F522:F551)</f>
        <v/>
      </c>
      <c r="I551" s="5">
        <f>SLOPE(F$2:F$731,$A$2:$A$731)*$A551+INTERCEPT(F$2:F$731,$A$2:$A$731)</f>
        <v/>
      </c>
      <c r="J551" s="6" t="inlineStr"/>
    </row>
    <row r="552">
      <c r="A552" s="2" t="n">
        <v>45842</v>
      </c>
      <c r="B552" s="3" t="n">
        <v>85.5</v>
      </c>
      <c r="C552" s="4">
        <f>B552/B$2*100</f>
        <v/>
      </c>
      <c r="D552" s="5">
        <f>AVERAGE(B523:B552)</f>
        <v/>
      </c>
      <c r="E552" s="5">
        <f>SLOPE(B$2:B$731,$A$2:$A$731)*$A552+INTERCEPT(B$2:B$731,$A$2:$A$731)</f>
        <v/>
      </c>
      <c r="F552" s="3" t="n">
        <v>0.79</v>
      </c>
      <c r="G552" s="4">
        <f>F552/F$2*100</f>
        <v/>
      </c>
      <c r="H552" s="5">
        <f>AVERAGE(F523:F552)</f>
        <v/>
      </c>
      <c r="I552" s="5">
        <f>SLOPE(F$2:F$731,$A$2:$A$731)*$A552+INTERCEPT(F$2:F$731,$A$2:$A$731)</f>
        <v/>
      </c>
      <c r="J552" s="6" t="inlineStr"/>
    </row>
    <row r="553">
      <c r="A553" s="2" t="n">
        <v>45843</v>
      </c>
      <c r="B553" s="3" t="n">
        <v>85.51000000000001</v>
      </c>
      <c r="C553" s="4">
        <f>B553/B$2*100</f>
        <v/>
      </c>
      <c r="D553" s="5">
        <f>AVERAGE(B524:B553)</f>
        <v/>
      </c>
      <c r="E553" s="5">
        <f>SLOPE(B$2:B$731,$A$2:$A$731)*$A553+INTERCEPT(B$2:B$731,$A$2:$A$731)</f>
        <v/>
      </c>
      <c r="F553" s="3" t="n">
        <v>0.79</v>
      </c>
      <c r="G553" s="4">
        <f>F553/F$2*100</f>
        <v/>
      </c>
      <c r="H553" s="5">
        <f>AVERAGE(F524:F553)</f>
        <v/>
      </c>
      <c r="I553" s="5">
        <f>SLOPE(F$2:F$731,$A$2:$A$731)*$A553+INTERCEPT(F$2:F$731,$A$2:$A$731)</f>
        <v/>
      </c>
      <c r="J553" s="6" t="inlineStr">
        <is>
          <t>yes</t>
        </is>
      </c>
    </row>
    <row r="554">
      <c r="A554" s="2" t="n">
        <v>45844</v>
      </c>
      <c r="B554" s="3" t="n">
        <v>85.52</v>
      </c>
      <c r="C554" s="4">
        <f>B554/B$2*100</f>
        <v/>
      </c>
      <c r="D554" s="5">
        <f>AVERAGE(B525:B554)</f>
        <v/>
      </c>
      <c r="E554" s="5">
        <f>SLOPE(B$2:B$731,$A$2:$A$731)*$A554+INTERCEPT(B$2:B$731,$A$2:$A$731)</f>
        <v/>
      </c>
      <c r="F554" s="3" t="n">
        <v>0.79</v>
      </c>
      <c r="G554" s="4">
        <f>F554/F$2*100</f>
        <v/>
      </c>
      <c r="H554" s="5">
        <f>AVERAGE(F525:F554)</f>
        <v/>
      </c>
      <c r="I554" s="5">
        <f>SLOPE(F$2:F$731,$A$2:$A$731)*$A554+INTERCEPT(F$2:F$731,$A$2:$A$731)</f>
        <v/>
      </c>
      <c r="J554" s="6" t="inlineStr">
        <is>
          <t>yes</t>
        </is>
      </c>
    </row>
    <row r="555">
      <c r="A555" s="2" t="n">
        <v>45845</v>
      </c>
      <c r="B555" s="3" t="n">
        <v>85.53</v>
      </c>
      <c r="C555" s="4">
        <f>B555/B$2*100</f>
        <v/>
      </c>
      <c r="D555" s="5">
        <f>AVERAGE(B526:B555)</f>
        <v/>
      </c>
      <c r="E555" s="5">
        <f>SLOPE(B$2:B$731,$A$2:$A$731)*$A555+INTERCEPT(B$2:B$731,$A$2:$A$731)</f>
        <v/>
      </c>
      <c r="F555" s="3" t="n">
        <v>0.79</v>
      </c>
      <c r="G555" s="4">
        <f>F555/F$2*100</f>
        <v/>
      </c>
      <c r="H555" s="5">
        <f>AVERAGE(F526:F555)</f>
        <v/>
      </c>
      <c r="I555" s="5">
        <f>SLOPE(F$2:F$731,$A$2:$A$731)*$A555+INTERCEPT(F$2:F$731,$A$2:$A$731)</f>
        <v/>
      </c>
      <c r="J555" s="6" t="inlineStr"/>
    </row>
    <row r="556">
      <c r="A556" s="2" t="n">
        <v>45846</v>
      </c>
      <c r="B556" s="3" t="n">
        <v>85.54000000000001</v>
      </c>
      <c r="C556" s="4">
        <f>B556/B$2*100</f>
        <v/>
      </c>
      <c r="D556" s="5">
        <f>AVERAGE(B527:B556)</f>
        <v/>
      </c>
      <c r="E556" s="5">
        <f>SLOPE(B$2:B$731,$A$2:$A$731)*$A556+INTERCEPT(B$2:B$731,$A$2:$A$731)</f>
        <v/>
      </c>
      <c r="F556" s="3" t="n">
        <v>0.79</v>
      </c>
      <c r="G556" s="4">
        <f>F556/F$2*100</f>
        <v/>
      </c>
      <c r="H556" s="5">
        <f>AVERAGE(F527:F556)</f>
        <v/>
      </c>
      <c r="I556" s="5">
        <f>SLOPE(F$2:F$731,$A$2:$A$731)*$A556+INTERCEPT(F$2:F$731,$A$2:$A$731)</f>
        <v/>
      </c>
      <c r="J556" s="6" t="inlineStr"/>
    </row>
    <row r="557">
      <c r="A557" s="2" t="n">
        <v>45847</v>
      </c>
      <c r="B557" s="3" t="n">
        <v>85.55</v>
      </c>
      <c r="C557" s="4">
        <f>B557/B$2*100</f>
        <v/>
      </c>
      <c r="D557" s="5">
        <f>AVERAGE(B528:B557)</f>
        <v/>
      </c>
      <c r="E557" s="5">
        <f>SLOPE(B$2:B$731,$A$2:$A$731)*$A557+INTERCEPT(B$2:B$731,$A$2:$A$731)</f>
        <v/>
      </c>
      <c r="F557" s="3" t="n">
        <v>0.79</v>
      </c>
      <c r="G557" s="4">
        <f>F557/F$2*100</f>
        <v/>
      </c>
      <c r="H557" s="5">
        <f>AVERAGE(F528:F557)</f>
        <v/>
      </c>
      <c r="I557" s="5">
        <f>SLOPE(F$2:F$731,$A$2:$A$731)*$A557+INTERCEPT(F$2:F$731,$A$2:$A$731)</f>
        <v/>
      </c>
      <c r="J557" s="6" t="inlineStr"/>
    </row>
    <row r="558">
      <c r="A558" s="2" t="n">
        <v>45848</v>
      </c>
      <c r="B558" s="3" t="n">
        <v>85.56</v>
      </c>
      <c r="C558" s="4">
        <f>B558/B$2*100</f>
        <v/>
      </c>
      <c r="D558" s="5">
        <f>AVERAGE(B529:B558)</f>
        <v/>
      </c>
      <c r="E558" s="5">
        <f>SLOPE(B$2:B$731,$A$2:$A$731)*$A558+INTERCEPT(B$2:B$731,$A$2:$A$731)</f>
        <v/>
      </c>
      <c r="F558" s="3" t="n">
        <v>0.79</v>
      </c>
      <c r="G558" s="4">
        <f>F558/F$2*100</f>
        <v/>
      </c>
      <c r="H558" s="5">
        <f>AVERAGE(F529:F558)</f>
        <v/>
      </c>
      <c r="I558" s="5">
        <f>SLOPE(F$2:F$731,$A$2:$A$731)*$A558+INTERCEPT(F$2:F$731,$A$2:$A$731)</f>
        <v/>
      </c>
      <c r="J558" s="6" t="inlineStr"/>
    </row>
    <row r="559">
      <c r="A559" s="2" t="n">
        <v>45849</v>
      </c>
      <c r="B559" s="3" t="n">
        <v>85.56999999999999</v>
      </c>
      <c r="C559" s="4">
        <f>B559/B$2*100</f>
        <v/>
      </c>
      <c r="D559" s="5">
        <f>AVERAGE(B530:B559)</f>
        <v/>
      </c>
      <c r="E559" s="5">
        <f>SLOPE(B$2:B$731,$A$2:$A$731)*$A559+INTERCEPT(B$2:B$731,$A$2:$A$731)</f>
        <v/>
      </c>
      <c r="F559" s="3" t="n">
        <v>0.79</v>
      </c>
      <c r="G559" s="4">
        <f>F559/F$2*100</f>
        <v/>
      </c>
      <c r="H559" s="5">
        <f>AVERAGE(F530:F559)</f>
        <v/>
      </c>
      <c r="I559" s="5">
        <f>SLOPE(F$2:F$731,$A$2:$A$731)*$A559+INTERCEPT(F$2:F$731,$A$2:$A$731)</f>
        <v/>
      </c>
      <c r="J559" s="6" t="inlineStr"/>
    </row>
    <row r="560">
      <c r="A560" s="2" t="n">
        <v>45850</v>
      </c>
      <c r="B560" s="3" t="n">
        <v>85.58</v>
      </c>
      <c r="C560" s="4">
        <f>B560/B$2*100</f>
        <v/>
      </c>
      <c r="D560" s="5">
        <f>AVERAGE(B531:B560)</f>
        <v/>
      </c>
      <c r="E560" s="5">
        <f>SLOPE(B$2:B$731,$A$2:$A$731)*$A560+INTERCEPT(B$2:B$731,$A$2:$A$731)</f>
        <v/>
      </c>
      <c r="F560" s="3" t="n">
        <v>0.79</v>
      </c>
      <c r="G560" s="4">
        <f>F560/F$2*100</f>
        <v/>
      </c>
      <c r="H560" s="5">
        <f>AVERAGE(F531:F560)</f>
        <v/>
      </c>
      <c r="I560" s="5">
        <f>SLOPE(F$2:F$731,$A$2:$A$731)*$A560+INTERCEPT(F$2:F$731,$A$2:$A$731)</f>
        <v/>
      </c>
      <c r="J560" s="6" t="inlineStr">
        <is>
          <t>yes</t>
        </is>
      </c>
    </row>
    <row r="561">
      <c r="A561" s="2" t="n">
        <v>45851</v>
      </c>
      <c r="B561" s="3" t="n">
        <v>85.59</v>
      </c>
      <c r="C561" s="4">
        <f>B561/B$2*100</f>
        <v/>
      </c>
      <c r="D561" s="5">
        <f>AVERAGE(B532:B561)</f>
        <v/>
      </c>
      <c r="E561" s="5">
        <f>SLOPE(B$2:B$731,$A$2:$A$731)*$A561+INTERCEPT(B$2:B$731,$A$2:$A$731)</f>
        <v/>
      </c>
      <c r="F561" s="3" t="n">
        <v>0.79</v>
      </c>
      <c r="G561" s="4">
        <f>F561/F$2*100</f>
        <v/>
      </c>
      <c r="H561" s="5">
        <f>AVERAGE(F532:F561)</f>
        <v/>
      </c>
      <c r="I561" s="5">
        <f>SLOPE(F$2:F$731,$A$2:$A$731)*$A561+INTERCEPT(F$2:F$731,$A$2:$A$731)</f>
        <v/>
      </c>
      <c r="J561" s="6" t="inlineStr">
        <is>
          <t>yes</t>
        </is>
      </c>
    </row>
    <row r="562">
      <c r="A562" s="2" t="n">
        <v>45852</v>
      </c>
      <c r="B562" s="3" t="n">
        <v>85.59999999999999</v>
      </c>
      <c r="C562" s="4">
        <f>B562/B$2*100</f>
        <v/>
      </c>
      <c r="D562" s="5">
        <f>AVERAGE(B533:B562)</f>
        <v/>
      </c>
      <c r="E562" s="5">
        <f>SLOPE(B$2:B$731,$A$2:$A$731)*$A562+INTERCEPT(B$2:B$731,$A$2:$A$731)</f>
        <v/>
      </c>
      <c r="F562" s="3" t="n">
        <v>0.79</v>
      </c>
      <c r="G562" s="4">
        <f>F562/F$2*100</f>
        <v/>
      </c>
      <c r="H562" s="5">
        <f>AVERAGE(F533:F562)</f>
        <v/>
      </c>
      <c r="I562" s="5">
        <f>SLOPE(F$2:F$731,$A$2:$A$731)*$A562+INTERCEPT(F$2:F$731,$A$2:$A$731)</f>
        <v/>
      </c>
      <c r="J562" s="6" t="inlineStr"/>
    </row>
    <row r="563">
      <c r="A563" s="2" t="n">
        <v>45853</v>
      </c>
      <c r="B563" s="3" t="n">
        <v>85.61</v>
      </c>
      <c r="C563" s="4">
        <f>B563/B$2*100</f>
        <v/>
      </c>
      <c r="D563" s="5">
        <f>AVERAGE(B534:B563)</f>
        <v/>
      </c>
      <c r="E563" s="5">
        <f>SLOPE(B$2:B$731,$A$2:$A$731)*$A563+INTERCEPT(B$2:B$731,$A$2:$A$731)</f>
        <v/>
      </c>
      <c r="F563" s="3" t="n">
        <v>0.79</v>
      </c>
      <c r="G563" s="4">
        <f>F563/F$2*100</f>
        <v/>
      </c>
      <c r="H563" s="5">
        <f>AVERAGE(F534:F563)</f>
        <v/>
      </c>
      <c r="I563" s="5">
        <f>SLOPE(F$2:F$731,$A$2:$A$731)*$A563+INTERCEPT(F$2:F$731,$A$2:$A$731)</f>
        <v/>
      </c>
      <c r="J563" s="6" t="inlineStr"/>
    </row>
    <row r="564">
      <c r="A564" s="2" t="n">
        <v>45854</v>
      </c>
      <c r="B564" s="3" t="n">
        <v>85.62</v>
      </c>
      <c r="C564" s="4">
        <f>B564/B$2*100</f>
        <v/>
      </c>
      <c r="D564" s="5">
        <f>AVERAGE(B535:B564)</f>
        <v/>
      </c>
      <c r="E564" s="5">
        <f>SLOPE(B$2:B$731,$A$2:$A$731)*$A564+INTERCEPT(B$2:B$731,$A$2:$A$731)</f>
        <v/>
      </c>
      <c r="F564" s="3" t="n">
        <v>0.79</v>
      </c>
      <c r="G564" s="4">
        <f>F564/F$2*100</f>
        <v/>
      </c>
      <c r="H564" s="5">
        <f>AVERAGE(F535:F564)</f>
        <v/>
      </c>
      <c r="I564" s="5">
        <f>SLOPE(F$2:F$731,$A$2:$A$731)*$A564+INTERCEPT(F$2:F$731,$A$2:$A$731)</f>
        <v/>
      </c>
      <c r="J564" s="6" t="inlineStr"/>
    </row>
    <row r="565">
      <c r="A565" s="2" t="n">
        <v>45855</v>
      </c>
      <c r="B565" s="3" t="n">
        <v>85.63</v>
      </c>
      <c r="C565" s="4">
        <f>B565/B$2*100</f>
        <v/>
      </c>
      <c r="D565" s="5">
        <f>AVERAGE(B536:B565)</f>
        <v/>
      </c>
      <c r="E565" s="5">
        <f>SLOPE(B$2:B$731,$A$2:$A$731)*$A565+INTERCEPT(B$2:B$731,$A$2:$A$731)</f>
        <v/>
      </c>
      <c r="F565" s="3" t="n">
        <v>0.79</v>
      </c>
      <c r="G565" s="4">
        <f>F565/F$2*100</f>
        <v/>
      </c>
      <c r="H565" s="5">
        <f>AVERAGE(F536:F565)</f>
        <v/>
      </c>
      <c r="I565" s="5">
        <f>SLOPE(F$2:F$731,$A$2:$A$731)*$A565+INTERCEPT(F$2:F$731,$A$2:$A$731)</f>
        <v/>
      </c>
      <c r="J565" s="6" t="inlineStr"/>
    </row>
    <row r="566">
      <c r="A566" s="2" t="n">
        <v>45856</v>
      </c>
      <c r="B566" s="3" t="n">
        <v>85.64</v>
      </c>
      <c r="C566" s="4">
        <f>B566/B$2*100</f>
        <v/>
      </c>
      <c r="D566" s="5">
        <f>AVERAGE(B537:B566)</f>
        <v/>
      </c>
      <c r="E566" s="5">
        <f>SLOPE(B$2:B$731,$A$2:$A$731)*$A566+INTERCEPT(B$2:B$731,$A$2:$A$731)</f>
        <v/>
      </c>
      <c r="F566" s="3" t="n">
        <v>0.79</v>
      </c>
      <c r="G566" s="4">
        <f>F566/F$2*100</f>
        <v/>
      </c>
      <c r="H566" s="5">
        <f>AVERAGE(F537:F566)</f>
        <v/>
      </c>
      <c r="I566" s="5">
        <f>SLOPE(F$2:F$731,$A$2:$A$731)*$A566+INTERCEPT(F$2:F$731,$A$2:$A$731)</f>
        <v/>
      </c>
      <c r="J566" s="6" t="inlineStr"/>
    </row>
    <row r="567">
      <c r="A567" s="2" t="n">
        <v>45857</v>
      </c>
      <c r="B567" s="3" t="n">
        <v>85.65000000000001</v>
      </c>
      <c r="C567" s="4">
        <f>B567/B$2*100</f>
        <v/>
      </c>
      <c r="D567" s="5">
        <f>AVERAGE(B538:B567)</f>
        <v/>
      </c>
      <c r="E567" s="5">
        <f>SLOPE(B$2:B$731,$A$2:$A$731)*$A567+INTERCEPT(B$2:B$731,$A$2:$A$731)</f>
        <v/>
      </c>
      <c r="F567" s="3" t="n">
        <v>0.79</v>
      </c>
      <c r="G567" s="4">
        <f>F567/F$2*100</f>
        <v/>
      </c>
      <c r="H567" s="5">
        <f>AVERAGE(F538:F567)</f>
        <v/>
      </c>
      <c r="I567" s="5">
        <f>SLOPE(F$2:F$731,$A$2:$A$731)*$A567+INTERCEPT(F$2:F$731,$A$2:$A$731)</f>
        <v/>
      </c>
      <c r="J567" s="6" t="inlineStr">
        <is>
          <t>yes</t>
        </is>
      </c>
    </row>
    <row r="568">
      <c r="A568" s="2" t="n">
        <v>45858</v>
      </c>
      <c r="B568" s="3" t="n">
        <v>85.66</v>
      </c>
      <c r="C568" s="4">
        <f>B568/B$2*100</f>
        <v/>
      </c>
      <c r="D568" s="5">
        <f>AVERAGE(B539:B568)</f>
        <v/>
      </c>
      <c r="E568" s="5">
        <f>SLOPE(B$2:B$731,$A$2:$A$731)*$A568+INTERCEPT(B$2:B$731,$A$2:$A$731)</f>
        <v/>
      </c>
      <c r="F568" s="3" t="n">
        <v>0.79</v>
      </c>
      <c r="G568" s="4">
        <f>F568/F$2*100</f>
        <v/>
      </c>
      <c r="H568" s="5">
        <f>AVERAGE(F539:F568)</f>
        <v/>
      </c>
      <c r="I568" s="5">
        <f>SLOPE(F$2:F$731,$A$2:$A$731)*$A568+INTERCEPT(F$2:F$731,$A$2:$A$731)</f>
        <v/>
      </c>
      <c r="J568" s="6" t="inlineStr">
        <is>
          <t>yes</t>
        </is>
      </c>
    </row>
    <row r="569">
      <c r="A569" s="2" t="n">
        <v>45859</v>
      </c>
      <c r="B569" s="3" t="n">
        <v>85.67</v>
      </c>
      <c r="C569" s="4">
        <f>B569/B$2*100</f>
        <v/>
      </c>
      <c r="D569" s="5">
        <f>AVERAGE(B540:B569)</f>
        <v/>
      </c>
      <c r="E569" s="5">
        <f>SLOPE(B$2:B$731,$A$2:$A$731)*$A569+INTERCEPT(B$2:B$731,$A$2:$A$731)</f>
        <v/>
      </c>
      <c r="F569" s="3" t="n">
        <v>0.79</v>
      </c>
      <c r="G569" s="4">
        <f>F569/F$2*100</f>
        <v/>
      </c>
      <c r="H569" s="5">
        <f>AVERAGE(F540:F569)</f>
        <v/>
      </c>
      <c r="I569" s="5">
        <f>SLOPE(F$2:F$731,$A$2:$A$731)*$A569+INTERCEPT(F$2:F$731,$A$2:$A$731)</f>
        <v/>
      </c>
      <c r="J569" s="6" t="inlineStr"/>
    </row>
    <row r="570">
      <c r="A570" s="2" t="n">
        <v>45860</v>
      </c>
      <c r="B570" s="3" t="n">
        <v>85.68000000000001</v>
      </c>
      <c r="C570" s="4">
        <f>B570/B$2*100</f>
        <v/>
      </c>
      <c r="D570" s="5">
        <f>AVERAGE(B541:B570)</f>
        <v/>
      </c>
      <c r="E570" s="5">
        <f>SLOPE(B$2:B$731,$A$2:$A$731)*$A570+INTERCEPT(B$2:B$731,$A$2:$A$731)</f>
        <v/>
      </c>
      <c r="F570" s="3" t="n">
        <v>0.79</v>
      </c>
      <c r="G570" s="4">
        <f>F570/F$2*100</f>
        <v/>
      </c>
      <c r="H570" s="5">
        <f>AVERAGE(F541:F570)</f>
        <v/>
      </c>
      <c r="I570" s="5">
        <f>SLOPE(F$2:F$731,$A$2:$A$731)*$A570+INTERCEPT(F$2:F$731,$A$2:$A$731)</f>
        <v/>
      </c>
      <c r="J570" s="6" t="inlineStr"/>
    </row>
    <row r="571">
      <c r="A571" s="2" t="n">
        <v>45861</v>
      </c>
      <c r="B571" s="3" t="n">
        <v>85.69</v>
      </c>
      <c r="C571" s="4">
        <f>B571/B$2*100</f>
        <v/>
      </c>
      <c r="D571" s="5">
        <f>AVERAGE(B542:B571)</f>
        <v/>
      </c>
      <c r="E571" s="5">
        <f>SLOPE(B$2:B$731,$A$2:$A$731)*$A571+INTERCEPT(B$2:B$731,$A$2:$A$731)</f>
        <v/>
      </c>
      <c r="F571" s="3" t="n">
        <v>0.79</v>
      </c>
      <c r="G571" s="4">
        <f>F571/F$2*100</f>
        <v/>
      </c>
      <c r="H571" s="5">
        <f>AVERAGE(F542:F571)</f>
        <v/>
      </c>
      <c r="I571" s="5">
        <f>SLOPE(F$2:F$731,$A$2:$A$731)*$A571+INTERCEPT(F$2:F$731,$A$2:$A$731)</f>
        <v/>
      </c>
      <c r="J571" s="6" t="inlineStr"/>
    </row>
    <row r="572">
      <c r="A572" s="2" t="n">
        <v>45862</v>
      </c>
      <c r="B572" s="3" t="n">
        <v>85.7</v>
      </c>
      <c r="C572" s="4">
        <f>B572/B$2*100</f>
        <v/>
      </c>
      <c r="D572" s="5">
        <f>AVERAGE(B543:B572)</f>
        <v/>
      </c>
      <c r="E572" s="5">
        <f>SLOPE(B$2:B$731,$A$2:$A$731)*$A572+INTERCEPT(B$2:B$731,$A$2:$A$731)</f>
        <v/>
      </c>
      <c r="F572" s="3" t="n">
        <v>0.79</v>
      </c>
      <c r="G572" s="4">
        <f>F572/F$2*100</f>
        <v/>
      </c>
      <c r="H572" s="5">
        <f>AVERAGE(F543:F572)</f>
        <v/>
      </c>
      <c r="I572" s="5">
        <f>SLOPE(F$2:F$731,$A$2:$A$731)*$A572+INTERCEPT(F$2:F$731,$A$2:$A$731)</f>
        <v/>
      </c>
      <c r="J572" s="6" t="inlineStr"/>
    </row>
    <row r="573">
      <c r="A573" s="2" t="n">
        <v>45863</v>
      </c>
      <c r="B573" s="3" t="n">
        <v>85.70999999999999</v>
      </c>
      <c r="C573" s="4">
        <f>B573/B$2*100</f>
        <v/>
      </c>
      <c r="D573" s="5">
        <f>AVERAGE(B544:B573)</f>
        <v/>
      </c>
      <c r="E573" s="5">
        <f>SLOPE(B$2:B$731,$A$2:$A$731)*$A573+INTERCEPT(B$2:B$731,$A$2:$A$731)</f>
        <v/>
      </c>
      <c r="F573" s="3" t="n">
        <v>0.79</v>
      </c>
      <c r="G573" s="4">
        <f>F573/F$2*100</f>
        <v/>
      </c>
      <c r="H573" s="5">
        <f>AVERAGE(F544:F573)</f>
        <v/>
      </c>
      <c r="I573" s="5">
        <f>SLOPE(F$2:F$731,$A$2:$A$731)*$A573+INTERCEPT(F$2:F$731,$A$2:$A$731)</f>
        <v/>
      </c>
      <c r="J573" s="6" t="inlineStr"/>
    </row>
    <row r="574">
      <c r="A574" s="2" t="n">
        <v>45864</v>
      </c>
      <c r="B574" s="3" t="n">
        <v>85.72</v>
      </c>
      <c r="C574" s="4">
        <f>B574/B$2*100</f>
        <v/>
      </c>
      <c r="D574" s="5">
        <f>AVERAGE(B545:B574)</f>
        <v/>
      </c>
      <c r="E574" s="5">
        <f>SLOPE(B$2:B$731,$A$2:$A$731)*$A574+INTERCEPT(B$2:B$731,$A$2:$A$731)</f>
        <v/>
      </c>
      <c r="F574" s="3" t="n">
        <v>0.79</v>
      </c>
      <c r="G574" s="4">
        <f>F574/F$2*100</f>
        <v/>
      </c>
      <c r="H574" s="5">
        <f>AVERAGE(F545:F574)</f>
        <v/>
      </c>
      <c r="I574" s="5">
        <f>SLOPE(F$2:F$731,$A$2:$A$731)*$A574+INTERCEPT(F$2:F$731,$A$2:$A$731)</f>
        <v/>
      </c>
      <c r="J574" s="6" t="inlineStr">
        <is>
          <t>yes</t>
        </is>
      </c>
    </row>
    <row r="575">
      <c r="A575" s="2" t="n">
        <v>45865</v>
      </c>
      <c r="B575" s="3" t="n">
        <v>85.73</v>
      </c>
      <c r="C575" s="4">
        <f>B575/B$2*100</f>
        <v/>
      </c>
      <c r="D575" s="5">
        <f>AVERAGE(B546:B575)</f>
        <v/>
      </c>
      <c r="E575" s="5">
        <f>SLOPE(B$2:B$731,$A$2:$A$731)*$A575+INTERCEPT(B$2:B$731,$A$2:$A$731)</f>
        <v/>
      </c>
      <c r="F575" s="3" t="n">
        <v>0.79</v>
      </c>
      <c r="G575" s="4">
        <f>F575/F$2*100</f>
        <v/>
      </c>
      <c r="H575" s="5">
        <f>AVERAGE(F546:F575)</f>
        <v/>
      </c>
      <c r="I575" s="5">
        <f>SLOPE(F$2:F$731,$A$2:$A$731)*$A575+INTERCEPT(F$2:F$731,$A$2:$A$731)</f>
        <v/>
      </c>
      <c r="J575" s="6" t="inlineStr">
        <is>
          <t>yes</t>
        </is>
      </c>
    </row>
    <row r="576">
      <c r="A576" s="2" t="n">
        <v>45866</v>
      </c>
      <c r="B576" s="3" t="n">
        <v>85.73999999999999</v>
      </c>
      <c r="C576" s="4">
        <f>B576/B$2*100</f>
        <v/>
      </c>
      <c r="D576" s="5">
        <f>AVERAGE(B547:B576)</f>
        <v/>
      </c>
      <c r="E576" s="5">
        <f>SLOPE(B$2:B$731,$A$2:$A$731)*$A576+INTERCEPT(B$2:B$731,$A$2:$A$731)</f>
        <v/>
      </c>
      <c r="F576" s="3" t="n">
        <v>0.79</v>
      </c>
      <c r="G576" s="4">
        <f>F576/F$2*100</f>
        <v/>
      </c>
      <c r="H576" s="5">
        <f>AVERAGE(F547:F576)</f>
        <v/>
      </c>
      <c r="I576" s="5">
        <f>SLOPE(F$2:F$731,$A$2:$A$731)*$A576+INTERCEPT(F$2:F$731,$A$2:$A$731)</f>
        <v/>
      </c>
      <c r="J576" s="6" t="inlineStr"/>
    </row>
    <row r="577">
      <c r="A577" s="2" t="n">
        <v>45867</v>
      </c>
      <c r="B577" s="3" t="n">
        <v>85.75</v>
      </c>
      <c r="C577" s="4">
        <f>B577/B$2*100</f>
        <v/>
      </c>
      <c r="D577" s="5">
        <f>AVERAGE(B548:B577)</f>
        <v/>
      </c>
      <c r="E577" s="5">
        <f>SLOPE(B$2:B$731,$A$2:$A$731)*$A577+INTERCEPT(B$2:B$731,$A$2:$A$731)</f>
        <v/>
      </c>
      <c r="F577" s="3" t="n">
        <v>0.79</v>
      </c>
      <c r="G577" s="4">
        <f>F577/F$2*100</f>
        <v/>
      </c>
      <c r="H577" s="5">
        <f>AVERAGE(F548:F577)</f>
        <v/>
      </c>
      <c r="I577" s="5">
        <f>SLOPE(F$2:F$731,$A$2:$A$731)*$A577+INTERCEPT(F$2:F$731,$A$2:$A$731)</f>
        <v/>
      </c>
      <c r="J577" s="6" t="inlineStr"/>
    </row>
    <row r="578">
      <c r="A578" s="2" t="n">
        <v>45868</v>
      </c>
      <c r="B578" s="3" t="n">
        <v>85.76000000000001</v>
      </c>
      <c r="C578" s="4">
        <f>B578/B$2*100</f>
        <v/>
      </c>
      <c r="D578" s="5">
        <f>AVERAGE(B549:B578)</f>
        <v/>
      </c>
      <c r="E578" s="5">
        <f>SLOPE(B$2:B$731,$A$2:$A$731)*$A578+INTERCEPT(B$2:B$731,$A$2:$A$731)</f>
        <v/>
      </c>
      <c r="F578" s="3" t="n">
        <v>0.79</v>
      </c>
      <c r="G578" s="4">
        <f>F578/F$2*100</f>
        <v/>
      </c>
      <c r="H578" s="5">
        <f>AVERAGE(F549:F578)</f>
        <v/>
      </c>
      <c r="I578" s="5">
        <f>SLOPE(F$2:F$731,$A$2:$A$731)*$A578+INTERCEPT(F$2:F$731,$A$2:$A$731)</f>
        <v/>
      </c>
      <c r="J578" s="6" t="inlineStr"/>
    </row>
    <row r="579">
      <c r="A579" s="2" t="n">
        <v>45869</v>
      </c>
      <c r="B579" s="3" t="n">
        <v>85.77</v>
      </c>
      <c r="C579" s="4">
        <f>B579/B$2*100</f>
        <v/>
      </c>
      <c r="D579" s="5">
        <f>AVERAGE(B550:B579)</f>
        <v/>
      </c>
      <c r="E579" s="5">
        <f>SLOPE(B$2:B$731,$A$2:$A$731)*$A579+INTERCEPT(B$2:B$731,$A$2:$A$731)</f>
        <v/>
      </c>
      <c r="F579" s="3" t="n">
        <v>0.79</v>
      </c>
      <c r="G579" s="4">
        <f>F579/F$2*100</f>
        <v/>
      </c>
      <c r="H579" s="5">
        <f>AVERAGE(F550:F579)</f>
        <v/>
      </c>
      <c r="I579" s="5">
        <f>SLOPE(F$2:F$731,$A$2:$A$731)*$A579+INTERCEPT(F$2:F$731,$A$2:$A$731)</f>
        <v/>
      </c>
      <c r="J579" s="6" t="inlineStr"/>
    </row>
    <row r="580">
      <c r="A580" s="2" t="n">
        <v>45870</v>
      </c>
      <c r="B580" s="3" t="n">
        <v>85.78</v>
      </c>
      <c r="C580" s="4">
        <f>B580/B$2*100</f>
        <v/>
      </c>
      <c r="D580" s="5">
        <f>AVERAGE(B551:B580)</f>
        <v/>
      </c>
      <c r="E580" s="5">
        <f>SLOPE(B$2:B$731,$A$2:$A$731)*$A580+INTERCEPT(B$2:B$731,$A$2:$A$731)</f>
        <v/>
      </c>
      <c r="F580" s="3" t="n">
        <v>0.79</v>
      </c>
      <c r="G580" s="4">
        <f>F580/F$2*100</f>
        <v/>
      </c>
      <c r="H580" s="5">
        <f>AVERAGE(F551:F580)</f>
        <v/>
      </c>
      <c r="I580" s="5">
        <f>SLOPE(F$2:F$731,$A$2:$A$731)*$A580+INTERCEPT(F$2:F$731,$A$2:$A$731)</f>
        <v/>
      </c>
      <c r="J580" s="6" t="inlineStr"/>
    </row>
    <row r="581">
      <c r="A581" s="2" t="n">
        <v>45871</v>
      </c>
      <c r="B581" s="3" t="n">
        <v>85.79000000000001</v>
      </c>
      <c r="C581" s="4">
        <f>B581/B$2*100</f>
        <v/>
      </c>
      <c r="D581" s="5">
        <f>AVERAGE(B552:B581)</f>
        <v/>
      </c>
      <c r="E581" s="5">
        <f>SLOPE(B$2:B$731,$A$2:$A$731)*$A581+INTERCEPT(B$2:B$731,$A$2:$A$731)</f>
        <v/>
      </c>
      <c r="F581" s="3" t="n">
        <v>0.79</v>
      </c>
      <c r="G581" s="4">
        <f>F581/F$2*100</f>
        <v/>
      </c>
      <c r="H581" s="5">
        <f>AVERAGE(F552:F581)</f>
        <v/>
      </c>
      <c r="I581" s="5">
        <f>SLOPE(F$2:F$731,$A$2:$A$731)*$A581+INTERCEPT(F$2:F$731,$A$2:$A$731)</f>
        <v/>
      </c>
      <c r="J581" s="6" t="inlineStr">
        <is>
          <t>yes</t>
        </is>
      </c>
    </row>
    <row r="582">
      <c r="A582" s="2" t="n">
        <v>45872</v>
      </c>
      <c r="B582" s="3" t="n">
        <v>85.8</v>
      </c>
      <c r="C582" s="4">
        <f>B582/B$2*100</f>
        <v/>
      </c>
      <c r="D582" s="5">
        <f>AVERAGE(B553:B582)</f>
        <v/>
      </c>
      <c r="E582" s="5">
        <f>SLOPE(B$2:B$731,$A$2:$A$731)*$A582+INTERCEPT(B$2:B$731,$A$2:$A$731)</f>
        <v/>
      </c>
      <c r="F582" s="3" t="n">
        <v>0.79</v>
      </c>
      <c r="G582" s="4">
        <f>F582/F$2*100</f>
        <v/>
      </c>
      <c r="H582" s="5">
        <f>AVERAGE(F553:F582)</f>
        <v/>
      </c>
      <c r="I582" s="5">
        <f>SLOPE(F$2:F$731,$A$2:$A$731)*$A582+INTERCEPT(F$2:F$731,$A$2:$A$731)</f>
        <v/>
      </c>
      <c r="J582" s="6" t="inlineStr">
        <is>
          <t>yes</t>
        </is>
      </c>
    </row>
    <row r="583">
      <c r="A583" s="2" t="n">
        <v>45873</v>
      </c>
      <c r="B583" s="3" t="n">
        <v>85.81</v>
      </c>
      <c r="C583" s="4">
        <f>B583/B$2*100</f>
        <v/>
      </c>
      <c r="D583" s="5">
        <f>AVERAGE(B554:B583)</f>
        <v/>
      </c>
      <c r="E583" s="5">
        <f>SLOPE(B$2:B$731,$A$2:$A$731)*$A583+INTERCEPT(B$2:B$731,$A$2:$A$731)</f>
        <v/>
      </c>
      <c r="F583" s="3" t="n">
        <v>0.79</v>
      </c>
      <c r="G583" s="4">
        <f>F583/F$2*100</f>
        <v/>
      </c>
      <c r="H583" s="5">
        <f>AVERAGE(F554:F583)</f>
        <v/>
      </c>
      <c r="I583" s="5">
        <f>SLOPE(F$2:F$731,$A$2:$A$731)*$A583+INTERCEPT(F$2:F$731,$A$2:$A$731)</f>
        <v/>
      </c>
      <c r="J583" s="6" t="inlineStr"/>
    </row>
    <row r="584">
      <c r="A584" s="2" t="n">
        <v>45874</v>
      </c>
      <c r="B584" s="3" t="n">
        <v>85.81999999999999</v>
      </c>
      <c r="C584" s="4">
        <f>B584/B$2*100</f>
        <v/>
      </c>
      <c r="D584" s="5">
        <f>AVERAGE(B555:B584)</f>
        <v/>
      </c>
      <c r="E584" s="5">
        <f>SLOPE(B$2:B$731,$A$2:$A$731)*$A584+INTERCEPT(B$2:B$731,$A$2:$A$731)</f>
        <v/>
      </c>
      <c r="F584" s="3" t="n">
        <v>0.79</v>
      </c>
      <c r="G584" s="4">
        <f>F584/F$2*100</f>
        <v/>
      </c>
      <c r="H584" s="5">
        <f>AVERAGE(F555:F584)</f>
        <v/>
      </c>
      <c r="I584" s="5">
        <f>SLOPE(F$2:F$731,$A$2:$A$731)*$A584+INTERCEPT(F$2:F$731,$A$2:$A$731)</f>
        <v/>
      </c>
      <c r="J584" s="6" t="inlineStr"/>
    </row>
    <row r="585">
      <c r="A585" s="2" t="n">
        <v>45875</v>
      </c>
      <c r="B585" s="3" t="n">
        <v>85.83</v>
      </c>
      <c r="C585" s="4">
        <f>B585/B$2*100</f>
        <v/>
      </c>
      <c r="D585" s="5">
        <f>AVERAGE(B556:B585)</f>
        <v/>
      </c>
      <c r="E585" s="5">
        <f>SLOPE(B$2:B$731,$A$2:$A$731)*$A585+INTERCEPT(B$2:B$731,$A$2:$A$731)</f>
        <v/>
      </c>
      <c r="F585" s="3" t="n">
        <v>0.79</v>
      </c>
      <c r="G585" s="4">
        <f>F585/F$2*100</f>
        <v/>
      </c>
      <c r="H585" s="5">
        <f>AVERAGE(F556:F585)</f>
        <v/>
      </c>
      <c r="I585" s="5">
        <f>SLOPE(F$2:F$731,$A$2:$A$731)*$A585+INTERCEPT(F$2:F$731,$A$2:$A$731)</f>
        <v/>
      </c>
      <c r="J585" s="6" t="inlineStr"/>
    </row>
    <row r="586">
      <c r="A586" s="2" t="n">
        <v>45876</v>
      </c>
      <c r="B586" s="3" t="n">
        <v>85.84</v>
      </c>
      <c r="C586" s="4">
        <f>B586/B$2*100</f>
        <v/>
      </c>
      <c r="D586" s="5">
        <f>AVERAGE(B557:B586)</f>
        <v/>
      </c>
      <c r="E586" s="5">
        <f>SLOPE(B$2:B$731,$A$2:$A$731)*$A586+INTERCEPT(B$2:B$731,$A$2:$A$731)</f>
        <v/>
      </c>
      <c r="F586" s="3" t="n">
        <v>0.79</v>
      </c>
      <c r="G586" s="4">
        <f>F586/F$2*100</f>
        <v/>
      </c>
      <c r="H586" s="5">
        <f>AVERAGE(F557:F586)</f>
        <v/>
      </c>
      <c r="I586" s="5">
        <f>SLOPE(F$2:F$731,$A$2:$A$731)*$A586+INTERCEPT(F$2:F$731,$A$2:$A$731)</f>
        <v/>
      </c>
      <c r="J586" s="6" t="inlineStr"/>
    </row>
    <row r="587">
      <c r="A587" s="2" t="n">
        <v>45877</v>
      </c>
      <c r="B587" s="3" t="n">
        <v>85.84999999999999</v>
      </c>
      <c r="C587" s="4">
        <f>B587/B$2*100</f>
        <v/>
      </c>
      <c r="D587" s="5">
        <f>AVERAGE(B558:B587)</f>
        <v/>
      </c>
      <c r="E587" s="5">
        <f>SLOPE(B$2:B$731,$A$2:$A$731)*$A587+INTERCEPT(B$2:B$731,$A$2:$A$731)</f>
        <v/>
      </c>
      <c r="F587" s="3" t="n">
        <v>0.79</v>
      </c>
      <c r="G587" s="4">
        <f>F587/F$2*100</f>
        <v/>
      </c>
      <c r="H587" s="5">
        <f>AVERAGE(F558:F587)</f>
        <v/>
      </c>
      <c r="I587" s="5">
        <f>SLOPE(F$2:F$731,$A$2:$A$731)*$A587+INTERCEPT(F$2:F$731,$A$2:$A$731)</f>
        <v/>
      </c>
      <c r="J587" s="6" t="inlineStr"/>
    </row>
    <row r="588">
      <c r="A588" s="2" t="n">
        <v>45878</v>
      </c>
      <c r="B588" s="3" t="n">
        <v>85.86</v>
      </c>
      <c r="C588" s="4">
        <f>B588/B$2*100</f>
        <v/>
      </c>
      <c r="D588" s="5">
        <f>AVERAGE(B559:B588)</f>
        <v/>
      </c>
      <c r="E588" s="5">
        <f>SLOPE(B$2:B$731,$A$2:$A$731)*$A588+INTERCEPT(B$2:B$731,$A$2:$A$731)</f>
        <v/>
      </c>
      <c r="F588" s="3" t="n">
        <v>0.79</v>
      </c>
      <c r="G588" s="4">
        <f>F588/F$2*100</f>
        <v/>
      </c>
      <c r="H588" s="5">
        <f>AVERAGE(F559:F588)</f>
        <v/>
      </c>
      <c r="I588" s="5">
        <f>SLOPE(F$2:F$731,$A$2:$A$731)*$A588+INTERCEPT(F$2:F$731,$A$2:$A$731)</f>
        <v/>
      </c>
      <c r="J588" s="6" t="inlineStr">
        <is>
          <t>yes</t>
        </is>
      </c>
    </row>
    <row r="589">
      <c r="A589" s="2" t="n">
        <v>45879</v>
      </c>
      <c r="B589" s="3" t="n">
        <v>85.87</v>
      </c>
      <c r="C589" s="4">
        <f>B589/B$2*100</f>
        <v/>
      </c>
      <c r="D589" s="5">
        <f>AVERAGE(B560:B589)</f>
        <v/>
      </c>
      <c r="E589" s="5">
        <f>SLOPE(B$2:B$731,$A$2:$A$731)*$A589+INTERCEPT(B$2:B$731,$A$2:$A$731)</f>
        <v/>
      </c>
      <c r="F589" s="3" t="n">
        <v>0.79</v>
      </c>
      <c r="G589" s="4">
        <f>F589/F$2*100</f>
        <v/>
      </c>
      <c r="H589" s="5">
        <f>AVERAGE(F560:F589)</f>
        <v/>
      </c>
      <c r="I589" s="5">
        <f>SLOPE(F$2:F$731,$A$2:$A$731)*$A589+INTERCEPT(F$2:F$731,$A$2:$A$731)</f>
        <v/>
      </c>
      <c r="J589" s="6" t="inlineStr">
        <is>
          <t>yes</t>
        </is>
      </c>
    </row>
    <row r="590">
      <c r="A590" s="2" t="n">
        <v>45880</v>
      </c>
      <c r="B590" s="3" t="n">
        <v>85.88</v>
      </c>
      <c r="C590" s="4">
        <f>B590/B$2*100</f>
        <v/>
      </c>
      <c r="D590" s="5">
        <f>AVERAGE(B561:B590)</f>
        <v/>
      </c>
      <c r="E590" s="5">
        <f>SLOPE(B$2:B$731,$A$2:$A$731)*$A590+INTERCEPT(B$2:B$731,$A$2:$A$731)</f>
        <v/>
      </c>
      <c r="F590" s="3" t="n">
        <v>0.79</v>
      </c>
      <c r="G590" s="4">
        <f>F590/F$2*100</f>
        <v/>
      </c>
      <c r="H590" s="5">
        <f>AVERAGE(F561:F590)</f>
        <v/>
      </c>
      <c r="I590" s="5">
        <f>SLOPE(F$2:F$731,$A$2:$A$731)*$A590+INTERCEPT(F$2:F$731,$A$2:$A$731)</f>
        <v/>
      </c>
      <c r="J590" s="6" t="inlineStr"/>
    </row>
    <row r="591">
      <c r="A591" s="2" t="n">
        <v>45881</v>
      </c>
      <c r="B591" s="3" t="n">
        <v>85.89</v>
      </c>
      <c r="C591" s="4">
        <f>B591/B$2*100</f>
        <v/>
      </c>
      <c r="D591" s="5">
        <f>AVERAGE(B562:B591)</f>
        <v/>
      </c>
      <c r="E591" s="5">
        <f>SLOPE(B$2:B$731,$A$2:$A$731)*$A591+INTERCEPT(B$2:B$731,$A$2:$A$731)</f>
        <v/>
      </c>
      <c r="F591" s="3" t="n">
        <v>0.79</v>
      </c>
      <c r="G591" s="4">
        <f>F591/F$2*100</f>
        <v/>
      </c>
      <c r="H591" s="5">
        <f>AVERAGE(F562:F591)</f>
        <v/>
      </c>
      <c r="I591" s="5">
        <f>SLOPE(F$2:F$731,$A$2:$A$731)*$A591+INTERCEPT(F$2:F$731,$A$2:$A$731)</f>
        <v/>
      </c>
      <c r="J591" s="6" t="inlineStr"/>
    </row>
    <row r="592">
      <c r="A592" s="2" t="n">
        <v>45882</v>
      </c>
      <c r="B592" s="3" t="n">
        <v>85.90000000000001</v>
      </c>
      <c r="C592" s="4">
        <f>B592/B$2*100</f>
        <v/>
      </c>
      <c r="D592" s="5">
        <f>AVERAGE(B563:B592)</f>
        <v/>
      </c>
      <c r="E592" s="5">
        <f>SLOPE(B$2:B$731,$A$2:$A$731)*$A592+INTERCEPT(B$2:B$731,$A$2:$A$731)</f>
        <v/>
      </c>
      <c r="F592" s="3" t="n">
        <v>0.79</v>
      </c>
      <c r="G592" s="4">
        <f>F592/F$2*100</f>
        <v/>
      </c>
      <c r="H592" s="5">
        <f>AVERAGE(F563:F592)</f>
        <v/>
      </c>
      <c r="I592" s="5">
        <f>SLOPE(F$2:F$731,$A$2:$A$731)*$A592+INTERCEPT(F$2:F$731,$A$2:$A$731)</f>
        <v/>
      </c>
      <c r="J592" s="6" t="inlineStr"/>
    </row>
    <row r="593">
      <c r="A593" s="2" t="n">
        <v>45883</v>
      </c>
      <c r="B593" s="3" t="n">
        <v>85.91</v>
      </c>
      <c r="C593" s="4">
        <f>B593/B$2*100</f>
        <v/>
      </c>
      <c r="D593" s="5">
        <f>AVERAGE(B564:B593)</f>
        <v/>
      </c>
      <c r="E593" s="5">
        <f>SLOPE(B$2:B$731,$A$2:$A$731)*$A593+INTERCEPT(B$2:B$731,$A$2:$A$731)</f>
        <v/>
      </c>
      <c r="F593" s="3" t="n">
        <v>0.79</v>
      </c>
      <c r="G593" s="4">
        <f>F593/F$2*100</f>
        <v/>
      </c>
      <c r="H593" s="5">
        <f>AVERAGE(F564:F593)</f>
        <v/>
      </c>
      <c r="I593" s="5">
        <f>SLOPE(F$2:F$731,$A$2:$A$731)*$A593+INTERCEPT(F$2:F$731,$A$2:$A$731)</f>
        <v/>
      </c>
      <c r="J593" s="6" t="inlineStr"/>
    </row>
    <row r="594">
      <c r="A594" s="2" t="n">
        <v>45884</v>
      </c>
      <c r="B594" s="3" t="n">
        <v>85.92</v>
      </c>
      <c r="C594" s="4">
        <f>B594/B$2*100</f>
        <v/>
      </c>
      <c r="D594" s="5">
        <f>AVERAGE(B565:B594)</f>
        <v/>
      </c>
      <c r="E594" s="5">
        <f>SLOPE(B$2:B$731,$A$2:$A$731)*$A594+INTERCEPT(B$2:B$731,$A$2:$A$731)</f>
        <v/>
      </c>
      <c r="F594" s="3" t="n">
        <v>0.79</v>
      </c>
      <c r="G594" s="4">
        <f>F594/F$2*100</f>
        <v/>
      </c>
      <c r="H594" s="5">
        <f>AVERAGE(F565:F594)</f>
        <v/>
      </c>
      <c r="I594" s="5">
        <f>SLOPE(F$2:F$731,$A$2:$A$731)*$A594+INTERCEPT(F$2:F$731,$A$2:$A$731)</f>
        <v/>
      </c>
      <c r="J594" s="6" t="inlineStr"/>
    </row>
    <row r="595">
      <c r="A595" s="2" t="n">
        <v>45885</v>
      </c>
      <c r="B595" s="3" t="n">
        <v>85.93000000000001</v>
      </c>
      <c r="C595" s="4">
        <f>B595/B$2*100</f>
        <v/>
      </c>
      <c r="D595" s="5">
        <f>AVERAGE(B566:B595)</f>
        <v/>
      </c>
      <c r="E595" s="5">
        <f>SLOPE(B$2:B$731,$A$2:$A$731)*$A595+INTERCEPT(B$2:B$731,$A$2:$A$731)</f>
        <v/>
      </c>
      <c r="F595" s="3" t="n">
        <v>0.79</v>
      </c>
      <c r="G595" s="4">
        <f>F595/F$2*100</f>
        <v/>
      </c>
      <c r="H595" s="5">
        <f>AVERAGE(F566:F595)</f>
        <v/>
      </c>
      <c r="I595" s="5">
        <f>SLOPE(F$2:F$731,$A$2:$A$731)*$A595+INTERCEPT(F$2:F$731,$A$2:$A$731)</f>
        <v/>
      </c>
      <c r="J595" s="6" t="inlineStr">
        <is>
          <t>yes</t>
        </is>
      </c>
    </row>
    <row r="596">
      <c r="A596" s="2" t="n">
        <v>45886</v>
      </c>
      <c r="B596" s="3" t="n">
        <v>85.94</v>
      </c>
      <c r="C596" s="4">
        <f>B596/B$2*100</f>
        <v/>
      </c>
      <c r="D596" s="5">
        <f>AVERAGE(B567:B596)</f>
        <v/>
      </c>
      <c r="E596" s="5">
        <f>SLOPE(B$2:B$731,$A$2:$A$731)*$A596+INTERCEPT(B$2:B$731,$A$2:$A$731)</f>
        <v/>
      </c>
      <c r="F596" s="3" t="n">
        <v>0.79</v>
      </c>
      <c r="G596" s="4">
        <f>F596/F$2*100</f>
        <v/>
      </c>
      <c r="H596" s="5">
        <f>AVERAGE(F567:F596)</f>
        <v/>
      </c>
      <c r="I596" s="5">
        <f>SLOPE(F$2:F$731,$A$2:$A$731)*$A596+INTERCEPT(F$2:F$731,$A$2:$A$731)</f>
        <v/>
      </c>
      <c r="J596" s="6" t="inlineStr">
        <is>
          <t>yes</t>
        </is>
      </c>
    </row>
    <row r="597">
      <c r="A597" s="2" t="n">
        <v>45887</v>
      </c>
      <c r="B597" s="3" t="n">
        <v>85.95</v>
      </c>
      <c r="C597" s="4">
        <f>B597/B$2*100</f>
        <v/>
      </c>
      <c r="D597" s="5">
        <f>AVERAGE(B568:B597)</f>
        <v/>
      </c>
      <c r="E597" s="5">
        <f>SLOPE(B$2:B$731,$A$2:$A$731)*$A597+INTERCEPT(B$2:B$731,$A$2:$A$731)</f>
        <v/>
      </c>
      <c r="F597" s="3" t="n">
        <v>0.79</v>
      </c>
      <c r="G597" s="4">
        <f>F597/F$2*100</f>
        <v/>
      </c>
      <c r="H597" s="5">
        <f>AVERAGE(F568:F597)</f>
        <v/>
      </c>
      <c r="I597" s="5">
        <f>SLOPE(F$2:F$731,$A$2:$A$731)*$A597+INTERCEPT(F$2:F$731,$A$2:$A$731)</f>
        <v/>
      </c>
      <c r="J597" s="6" t="inlineStr"/>
    </row>
    <row r="598">
      <c r="A598" s="2" t="n">
        <v>45888</v>
      </c>
      <c r="B598" s="3" t="n">
        <v>85.95999999999999</v>
      </c>
      <c r="C598" s="4">
        <f>B598/B$2*100</f>
        <v/>
      </c>
      <c r="D598" s="5">
        <f>AVERAGE(B569:B598)</f>
        <v/>
      </c>
      <c r="E598" s="5">
        <f>SLOPE(B$2:B$731,$A$2:$A$731)*$A598+INTERCEPT(B$2:B$731,$A$2:$A$731)</f>
        <v/>
      </c>
      <c r="F598" s="3" t="n">
        <v>0.79</v>
      </c>
      <c r="G598" s="4">
        <f>F598/F$2*100</f>
        <v/>
      </c>
      <c r="H598" s="5">
        <f>AVERAGE(F569:F598)</f>
        <v/>
      </c>
      <c r="I598" s="5">
        <f>SLOPE(F$2:F$731,$A$2:$A$731)*$A598+INTERCEPT(F$2:F$731,$A$2:$A$731)</f>
        <v/>
      </c>
      <c r="J598" s="6" t="inlineStr"/>
    </row>
    <row r="599">
      <c r="A599" s="2" t="n">
        <v>45889</v>
      </c>
      <c r="B599" s="3" t="n">
        <v>85.97</v>
      </c>
      <c r="C599" s="4">
        <f>B599/B$2*100</f>
        <v/>
      </c>
      <c r="D599" s="5">
        <f>AVERAGE(B570:B599)</f>
        <v/>
      </c>
      <c r="E599" s="5">
        <f>SLOPE(B$2:B$731,$A$2:$A$731)*$A599+INTERCEPT(B$2:B$731,$A$2:$A$731)</f>
        <v/>
      </c>
      <c r="F599" s="3" t="n">
        <v>0.79</v>
      </c>
      <c r="G599" s="4">
        <f>F599/F$2*100</f>
        <v/>
      </c>
      <c r="H599" s="5">
        <f>AVERAGE(F570:F599)</f>
        <v/>
      </c>
      <c r="I599" s="5">
        <f>SLOPE(F$2:F$731,$A$2:$A$731)*$A599+INTERCEPT(F$2:F$731,$A$2:$A$731)</f>
        <v/>
      </c>
      <c r="J599" s="6" t="inlineStr"/>
    </row>
    <row r="600">
      <c r="A600" s="2" t="n">
        <v>45890</v>
      </c>
      <c r="B600" s="3" t="n">
        <v>85.98</v>
      </c>
      <c r="C600" s="4">
        <f>B600/B$2*100</f>
        <v/>
      </c>
      <c r="D600" s="5">
        <f>AVERAGE(B571:B600)</f>
        <v/>
      </c>
      <c r="E600" s="5">
        <f>SLOPE(B$2:B$731,$A$2:$A$731)*$A600+INTERCEPT(B$2:B$731,$A$2:$A$731)</f>
        <v/>
      </c>
      <c r="F600" s="3" t="n">
        <v>0.79</v>
      </c>
      <c r="G600" s="4">
        <f>F600/F$2*100</f>
        <v/>
      </c>
      <c r="H600" s="5">
        <f>AVERAGE(F571:F600)</f>
        <v/>
      </c>
      <c r="I600" s="5">
        <f>SLOPE(F$2:F$731,$A$2:$A$731)*$A600+INTERCEPT(F$2:F$731,$A$2:$A$731)</f>
        <v/>
      </c>
      <c r="J600" s="6" t="inlineStr"/>
    </row>
    <row r="601">
      <c r="A601" s="2" t="n">
        <v>45891</v>
      </c>
      <c r="B601" s="3" t="n">
        <v>85.98999999999999</v>
      </c>
      <c r="C601" s="4">
        <f>B601/B$2*100</f>
        <v/>
      </c>
      <c r="D601" s="5">
        <f>AVERAGE(B572:B601)</f>
        <v/>
      </c>
      <c r="E601" s="5">
        <f>SLOPE(B$2:B$731,$A$2:$A$731)*$A601+INTERCEPT(B$2:B$731,$A$2:$A$731)</f>
        <v/>
      </c>
      <c r="F601" s="3" t="n">
        <v>0.79</v>
      </c>
      <c r="G601" s="4">
        <f>F601/F$2*100</f>
        <v/>
      </c>
      <c r="H601" s="5">
        <f>AVERAGE(F572:F601)</f>
        <v/>
      </c>
      <c r="I601" s="5">
        <f>SLOPE(F$2:F$731,$A$2:$A$731)*$A601+INTERCEPT(F$2:F$731,$A$2:$A$731)</f>
        <v/>
      </c>
      <c r="J601" s="6" t="inlineStr"/>
    </row>
    <row r="602">
      <c r="A602" s="2" t="n">
        <v>45892</v>
      </c>
      <c r="B602" s="3" t="n">
        <v>86</v>
      </c>
      <c r="C602" s="4">
        <f>B602/B$2*100</f>
        <v/>
      </c>
      <c r="D602" s="5">
        <f>AVERAGE(B573:B602)</f>
        <v/>
      </c>
      <c r="E602" s="5">
        <f>SLOPE(B$2:B$731,$A$2:$A$731)*$A602+INTERCEPT(B$2:B$731,$A$2:$A$731)</f>
        <v/>
      </c>
      <c r="F602" s="3" t="n">
        <v>0.79</v>
      </c>
      <c r="G602" s="4">
        <f>F602/F$2*100</f>
        <v/>
      </c>
      <c r="H602" s="5">
        <f>AVERAGE(F573:F602)</f>
        <v/>
      </c>
      <c r="I602" s="5">
        <f>SLOPE(F$2:F$731,$A$2:$A$731)*$A602+INTERCEPT(F$2:F$731,$A$2:$A$731)</f>
        <v/>
      </c>
      <c r="J602" s="6" t="inlineStr">
        <is>
          <t>yes</t>
        </is>
      </c>
    </row>
    <row r="603">
      <c r="A603" s="2" t="n">
        <v>45893</v>
      </c>
      <c r="B603" s="3" t="n">
        <v>86.01000000000001</v>
      </c>
      <c r="C603" s="4">
        <f>B603/B$2*100</f>
        <v/>
      </c>
      <c r="D603" s="5">
        <f>AVERAGE(B574:B603)</f>
        <v/>
      </c>
      <c r="E603" s="5">
        <f>SLOPE(B$2:B$731,$A$2:$A$731)*$A603+INTERCEPT(B$2:B$731,$A$2:$A$731)</f>
        <v/>
      </c>
      <c r="F603" s="3" t="n">
        <v>0.79</v>
      </c>
      <c r="G603" s="4">
        <f>F603/F$2*100</f>
        <v/>
      </c>
      <c r="H603" s="5">
        <f>AVERAGE(F574:F603)</f>
        <v/>
      </c>
      <c r="I603" s="5">
        <f>SLOPE(F$2:F$731,$A$2:$A$731)*$A603+INTERCEPT(F$2:F$731,$A$2:$A$731)</f>
        <v/>
      </c>
      <c r="J603" s="6" t="inlineStr">
        <is>
          <t>yes</t>
        </is>
      </c>
    </row>
    <row r="604">
      <c r="A604" s="2" t="n">
        <v>45894</v>
      </c>
      <c r="B604" s="3" t="n">
        <v>86.02</v>
      </c>
      <c r="C604" s="4">
        <f>B604/B$2*100</f>
        <v/>
      </c>
      <c r="D604" s="5">
        <f>AVERAGE(B575:B604)</f>
        <v/>
      </c>
      <c r="E604" s="5">
        <f>SLOPE(B$2:B$731,$A$2:$A$731)*$A604+INTERCEPT(B$2:B$731,$A$2:$A$731)</f>
        <v/>
      </c>
      <c r="F604" s="3" t="n">
        <v>0.79</v>
      </c>
      <c r="G604" s="4">
        <f>F604/F$2*100</f>
        <v/>
      </c>
      <c r="H604" s="5">
        <f>AVERAGE(F575:F604)</f>
        <v/>
      </c>
      <c r="I604" s="5">
        <f>SLOPE(F$2:F$731,$A$2:$A$731)*$A604+INTERCEPT(F$2:F$731,$A$2:$A$731)</f>
        <v/>
      </c>
      <c r="J604" s="6" t="inlineStr"/>
    </row>
    <row r="605">
      <c r="A605" s="2" t="n">
        <v>45895</v>
      </c>
      <c r="B605" s="3" t="n">
        <v>86.03</v>
      </c>
      <c r="C605" s="4">
        <f>B605/B$2*100</f>
        <v/>
      </c>
      <c r="D605" s="5">
        <f>AVERAGE(B576:B605)</f>
        <v/>
      </c>
      <c r="E605" s="5">
        <f>SLOPE(B$2:B$731,$A$2:$A$731)*$A605+INTERCEPT(B$2:B$731,$A$2:$A$731)</f>
        <v/>
      </c>
      <c r="F605" s="3" t="n">
        <v>0.79</v>
      </c>
      <c r="G605" s="4">
        <f>F605/F$2*100</f>
        <v/>
      </c>
      <c r="H605" s="5">
        <f>AVERAGE(F576:F605)</f>
        <v/>
      </c>
      <c r="I605" s="5">
        <f>SLOPE(F$2:F$731,$A$2:$A$731)*$A605+INTERCEPT(F$2:F$731,$A$2:$A$731)</f>
        <v/>
      </c>
      <c r="J605" s="6" t="inlineStr"/>
    </row>
    <row r="606">
      <c r="A606" s="2" t="n">
        <v>45896</v>
      </c>
      <c r="B606" s="3" t="n">
        <v>86.04000000000001</v>
      </c>
      <c r="C606" s="4">
        <f>B606/B$2*100</f>
        <v/>
      </c>
      <c r="D606" s="5">
        <f>AVERAGE(B577:B606)</f>
        <v/>
      </c>
      <c r="E606" s="5">
        <f>SLOPE(B$2:B$731,$A$2:$A$731)*$A606+INTERCEPT(B$2:B$731,$A$2:$A$731)</f>
        <v/>
      </c>
      <c r="F606" s="3" t="n">
        <v>0.79</v>
      </c>
      <c r="G606" s="4">
        <f>F606/F$2*100</f>
        <v/>
      </c>
      <c r="H606" s="5">
        <f>AVERAGE(F577:F606)</f>
        <v/>
      </c>
      <c r="I606" s="5">
        <f>SLOPE(F$2:F$731,$A$2:$A$731)*$A606+INTERCEPT(F$2:F$731,$A$2:$A$731)</f>
        <v/>
      </c>
      <c r="J606" s="6" t="inlineStr"/>
    </row>
    <row r="607">
      <c r="A607" s="2" t="n">
        <v>45897</v>
      </c>
      <c r="B607" s="3" t="n">
        <v>86.05</v>
      </c>
      <c r="C607" s="4">
        <f>B607/B$2*100</f>
        <v/>
      </c>
      <c r="D607" s="5">
        <f>AVERAGE(B578:B607)</f>
        <v/>
      </c>
      <c r="E607" s="5">
        <f>SLOPE(B$2:B$731,$A$2:$A$731)*$A607+INTERCEPT(B$2:B$731,$A$2:$A$731)</f>
        <v/>
      </c>
      <c r="F607" s="3" t="n">
        <v>0.79</v>
      </c>
      <c r="G607" s="4">
        <f>F607/F$2*100</f>
        <v/>
      </c>
      <c r="H607" s="5">
        <f>AVERAGE(F578:F607)</f>
        <v/>
      </c>
      <c r="I607" s="5">
        <f>SLOPE(F$2:F$731,$A$2:$A$731)*$A607+INTERCEPT(F$2:F$731,$A$2:$A$731)</f>
        <v/>
      </c>
      <c r="J607" s="6" t="inlineStr"/>
    </row>
    <row r="608">
      <c r="A608" s="2" t="n">
        <v>45898</v>
      </c>
      <c r="B608" s="3" t="n">
        <v>86.06</v>
      </c>
      <c r="C608" s="4">
        <f>B608/B$2*100</f>
        <v/>
      </c>
      <c r="D608" s="5">
        <f>AVERAGE(B579:B608)</f>
        <v/>
      </c>
      <c r="E608" s="5">
        <f>SLOPE(B$2:B$731,$A$2:$A$731)*$A608+INTERCEPT(B$2:B$731,$A$2:$A$731)</f>
        <v/>
      </c>
      <c r="F608" s="3" t="n">
        <v>0.79</v>
      </c>
      <c r="G608" s="4">
        <f>F608/F$2*100</f>
        <v/>
      </c>
      <c r="H608" s="5">
        <f>AVERAGE(F579:F608)</f>
        <v/>
      </c>
      <c r="I608" s="5">
        <f>SLOPE(F$2:F$731,$A$2:$A$731)*$A608+INTERCEPT(F$2:F$731,$A$2:$A$731)</f>
        <v/>
      </c>
      <c r="J608" s="6" t="inlineStr"/>
    </row>
    <row r="609">
      <c r="A609" s="2" t="n">
        <v>45899</v>
      </c>
      <c r="B609" s="3" t="n">
        <v>86.06999999999999</v>
      </c>
      <c r="C609" s="4">
        <f>B609/B$2*100</f>
        <v/>
      </c>
      <c r="D609" s="5">
        <f>AVERAGE(B580:B609)</f>
        <v/>
      </c>
      <c r="E609" s="5">
        <f>SLOPE(B$2:B$731,$A$2:$A$731)*$A609+INTERCEPT(B$2:B$731,$A$2:$A$731)</f>
        <v/>
      </c>
      <c r="F609" s="3" t="n">
        <v>0.79</v>
      </c>
      <c r="G609" s="4">
        <f>F609/F$2*100</f>
        <v/>
      </c>
      <c r="H609" s="5">
        <f>AVERAGE(F580:F609)</f>
        <v/>
      </c>
      <c r="I609" s="5">
        <f>SLOPE(F$2:F$731,$A$2:$A$731)*$A609+INTERCEPT(F$2:F$731,$A$2:$A$731)</f>
        <v/>
      </c>
      <c r="J609" s="6" t="inlineStr">
        <is>
          <t>yes</t>
        </is>
      </c>
    </row>
    <row r="610">
      <c r="A610" s="2" t="n">
        <v>45900</v>
      </c>
      <c r="B610" s="3" t="n">
        <v>86.08</v>
      </c>
      <c r="C610" s="4">
        <f>B610/B$2*100</f>
        <v/>
      </c>
      <c r="D610" s="5">
        <f>AVERAGE(B581:B610)</f>
        <v/>
      </c>
      <c r="E610" s="5">
        <f>SLOPE(B$2:B$731,$A$2:$A$731)*$A610+INTERCEPT(B$2:B$731,$A$2:$A$731)</f>
        <v/>
      </c>
      <c r="F610" s="3" t="n">
        <v>0.79</v>
      </c>
      <c r="G610" s="4">
        <f>F610/F$2*100</f>
        <v/>
      </c>
      <c r="H610" s="5">
        <f>AVERAGE(F581:F610)</f>
        <v/>
      </c>
      <c r="I610" s="5">
        <f>SLOPE(F$2:F$731,$A$2:$A$731)*$A610+INTERCEPT(F$2:F$731,$A$2:$A$731)</f>
        <v/>
      </c>
      <c r="J610" s="6" t="inlineStr">
        <is>
          <t>yes</t>
        </is>
      </c>
    </row>
    <row r="611">
      <c r="A611" s="2" t="n">
        <v>45901</v>
      </c>
      <c r="B611" s="3" t="n">
        <v>86.09</v>
      </c>
      <c r="C611" s="4">
        <f>B611/B$2*100</f>
        <v/>
      </c>
      <c r="D611" s="5">
        <f>AVERAGE(B582:B611)</f>
        <v/>
      </c>
      <c r="E611" s="5">
        <f>SLOPE(B$2:B$731,$A$2:$A$731)*$A611+INTERCEPT(B$2:B$731,$A$2:$A$731)</f>
        <v/>
      </c>
      <c r="F611" s="3" t="n">
        <v>0.79</v>
      </c>
      <c r="G611" s="4">
        <f>F611/F$2*100</f>
        <v/>
      </c>
      <c r="H611" s="5">
        <f>AVERAGE(F582:F611)</f>
        <v/>
      </c>
      <c r="I611" s="5">
        <f>SLOPE(F$2:F$731,$A$2:$A$731)*$A611+INTERCEPT(F$2:F$731,$A$2:$A$731)</f>
        <v/>
      </c>
      <c r="J611" s="6" t="inlineStr"/>
    </row>
    <row r="612">
      <c r="A612" s="2" t="n">
        <v>45902</v>
      </c>
      <c r="B612" s="3" t="n">
        <v>86.09999999999999</v>
      </c>
      <c r="C612" s="4">
        <f>B612/B$2*100</f>
        <v/>
      </c>
      <c r="D612" s="5">
        <f>AVERAGE(B583:B612)</f>
        <v/>
      </c>
      <c r="E612" s="5">
        <f>SLOPE(B$2:B$731,$A$2:$A$731)*$A612+INTERCEPT(B$2:B$731,$A$2:$A$731)</f>
        <v/>
      </c>
      <c r="F612" s="3" t="n">
        <v>0.79</v>
      </c>
      <c r="G612" s="4">
        <f>F612/F$2*100</f>
        <v/>
      </c>
      <c r="H612" s="5">
        <f>AVERAGE(F583:F612)</f>
        <v/>
      </c>
      <c r="I612" s="5">
        <f>SLOPE(F$2:F$731,$A$2:$A$731)*$A612+INTERCEPT(F$2:F$731,$A$2:$A$731)</f>
        <v/>
      </c>
      <c r="J612" s="6" t="inlineStr"/>
    </row>
    <row r="613">
      <c r="A613" s="2" t="n">
        <v>45903</v>
      </c>
      <c r="B613" s="3" t="n">
        <v>86.11</v>
      </c>
      <c r="C613" s="4">
        <f>B613/B$2*100</f>
        <v/>
      </c>
      <c r="D613" s="5">
        <f>AVERAGE(B584:B613)</f>
        <v/>
      </c>
      <c r="E613" s="5">
        <f>SLOPE(B$2:B$731,$A$2:$A$731)*$A613+INTERCEPT(B$2:B$731,$A$2:$A$731)</f>
        <v/>
      </c>
      <c r="F613" s="3" t="n">
        <v>0.79</v>
      </c>
      <c r="G613" s="4">
        <f>F613/F$2*100</f>
        <v/>
      </c>
      <c r="H613" s="5">
        <f>AVERAGE(F584:F613)</f>
        <v/>
      </c>
      <c r="I613" s="5">
        <f>SLOPE(F$2:F$731,$A$2:$A$731)*$A613+INTERCEPT(F$2:F$731,$A$2:$A$731)</f>
        <v/>
      </c>
      <c r="J613" s="6" t="inlineStr"/>
    </row>
    <row r="614">
      <c r="A614" s="2" t="n">
        <v>45904</v>
      </c>
      <c r="B614" s="3" t="n">
        <v>86.12</v>
      </c>
      <c r="C614" s="4">
        <f>B614/B$2*100</f>
        <v/>
      </c>
      <c r="D614" s="5">
        <f>AVERAGE(B585:B614)</f>
        <v/>
      </c>
      <c r="E614" s="5">
        <f>SLOPE(B$2:B$731,$A$2:$A$731)*$A614+INTERCEPT(B$2:B$731,$A$2:$A$731)</f>
        <v/>
      </c>
      <c r="F614" s="3" t="n">
        <v>0.79</v>
      </c>
      <c r="G614" s="4">
        <f>F614/F$2*100</f>
        <v/>
      </c>
      <c r="H614" s="5">
        <f>AVERAGE(F585:F614)</f>
        <v/>
      </c>
      <c r="I614" s="5">
        <f>SLOPE(F$2:F$731,$A$2:$A$731)*$A614+INTERCEPT(F$2:F$731,$A$2:$A$731)</f>
        <v/>
      </c>
      <c r="J614" s="6" t="inlineStr"/>
    </row>
    <row r="615">
      <c r="A615" s="2" t="n">
        <v>45905</v>
      </c>
      <c r="B615" s="3" t="n">
        <v>86.13</v>
      </c>
      <c r="C615" s="4">
        <f>B615/B$2*100</f>
        <v/>
      </c>
      <c r="D615" s="5">
        <f>AVERAGE(B586:B615)</f>
        <v/>
      </c>
      <c r="E615" s="5">
        <f>SLOPE(B$2:B$731,$A$2:$A$731)*$A615+INTERCEPT(B$2:B$731,$A$2:$A$731)</f>
        <v/>
      </c>
      <c r="F615" s="3" t="n">
        <v>0.79</v>
      </c>
      <c r="G615" s="4">
        <f>F615/F$2*100</f>
        <v/>
      </c>
      <c r="H615" s="5">
        <f>AVERAGE(F586:F615)</f>
        <v/>
      </c>
      <c r="I615" s="5">
        <f>SLOPE(F$2:F$731,$A$2:$A$731)*$A615+INTERCEPT(F$2:F$731,$A$2:$A$731)</f>
        <v/>
      </c>
      <c r="J615" s="6" t="inlineStr"/>
    </row>
    <row r="616">
      <c r="A616" s="2" t="n">
        <v>45906</v>
      </c>
      <c r="B616" s="3" t="n">
        <v>86.14</v>
      </c>
      <c r="C616" s="4">
        <f>B616/B$2*100</f>
        <v/>
      </c>
      <c r="D616" s="5">
        <f>AVERAGE(B587:B616)</f>
        <v/>
      </c>
      <c r="E616" s="5">
        <f>SLOPE(B$2:B$731,$A$2:$A$731)*$A616+INTERCEPT(B$2:B$731,$A$2:$A$731)</f>
        <v/>
      </c>
      <c r="F616" s="3" t="n">
        <v>0.79</v>
      </c>
      <c r="G616" s="4">
        <f>F616/F$2*100</f>
        <v/>
      </c>
      <c r="H616" s="5">
        <f>AVERAGE(F587:F616)</f>
        <v/>
      </c>
      <c r="I616" s="5">
        <f>SLOPE(F$2:F$731,$A$2:$A$731)*$A616+INTERCEPT(F$2:F$731,$A$2:$A$731)</f>
        <v/>
      </c>
      <c r="J616" s="6" t="inlineStr">
        <is>
          <t>yes</t>
        </is>
      </c>
    </row>
    <row r="617">
      <c r="A617" s="2" t="n">
        <v>45907</v>
      </c>
      <c r="B617" s="3" t="n">
        <v>86.15000000000001</v>
      </c>
      <c r="C617" s="4">
        <f>B617/B$2*100</f>
        <v/>
      </c>
      <c r="D617" s="5">
        <f>AVERAGE(B588:B617)</f>
        <v/>
      </c>
      <c r="E617" s="5">
        <f>SLOPE(B$2:B$731,$A$2:$A$731)*$A617+INTERCEPT(B$2:B$731,$A$2:$A$731)</f>
        <v/>
      </c>
      <c r="F617" s="3" t="n">
        <v>0.79</v>
      </c>
      <c r="G617" s="4">
        <f>F617/F$2*100</f>
        <v/>
      </c>
      <c r="H617" s="5">
        <f>AVERAGE(F588:F617)</f>
        <v/>
      </c>
      <c r="I617" s="5">
        <f>SLOPE(F$2:F$731,$A$2:$A$731)*$A617+INTERCEPT(F$2:F$731,$A$2:$A$731)</f>
        <v/>
      </c>
      <c r="J617" s="6" t="inlineStr">
        <is>
          <t>yes</t>
        </is>
      </c>
    </row>
    <row r="618">
      <c r="A618" s="2" t="n">
        <v>45908</v>
      </c>
      <c r="B618" s="3" t="n">
        <v>86.16</v>
      </c>
      <c r="C618" s="4">
        <f>B618/B$2*100</f>
        <v/>
      </c>
      <c r="D618" s="5">
        <f>AVERAGE(B589:B618)</f>
        <v/>
      </c>
      <c r="E618" s="5">
        <f>SLOPE(B$2:B$731,$A$2:$A$731)*$A618+INTERCEPT(B$2:B$731,$A$2:$A$731)</f>
        <v/>
      </c>
      <c r="F618" s="3" t="n">
        <v>0.79</v>
      </c>
      <c r="G618" s="4">
        <f>F618/F$2*100</f>
        <v/>
      </c>
      <c r="H618" s="5">
        <f>AVERAGE(F589:F618)</f>
        <v/>
      </c>
      <c r="I618" s="5">
        <f>SLOPE(F$2:F$731,$A$2:$A$731)*$A618+INTERCEPT(F$2:F$731,$A$2:$A$731)</f>
        <v/>
      </c>
      <c r="J618" s="6" t="inlineStr"/>
    </row>
    <row r="619">
      <c r="A619" s="2" t="n">
        <v>45909</v>
      </c>
      <c r="B619" s="3" t="n">
        <v>86.17</v>
      </c>
      <c r="C619" s="4">
        <f>B619/B$2*100</f>
        <v/>
      </c>
      <c r="D619" s="5">
        <f>AVERAGE(B590:B619)</f>
        <v/>
      </c>
      <c r="E619" s="5">
        <f>SLOPE(B$2:B$731,$A$2:$A$731)*$A619+INTERCEPT(B$2:B$731,$A$2:$A$731)</f>
        <v/>
      </c>
      <c r="F619" s="3" t="n">
        <v>0.79</v>
      </c>
      <c r="G619" s="4">
        <f>F619/F$2*100</f>
        <v/>
      </c>
      <c r="H619" s="5">
        <f>AVERAGE(F590:F619)</f>
        <v/>
      </c>
      <c r="I619" s="5">
        <f>SLOPE(F$2:F$731,$A$2:$A$731)*$A619+INTERCEPT(F$2:F$731,$A$2:$A$731)</f>
        <v/>
      </c>
      <c r="J619" s="6" t="inlineStr"/>
    </row>
    <row r="620">
      <c r="A620" s="2" t="n">
        <v>45910</v>
      </c>
      <c r="B620" s="3" t="n">
        <v>86.18000000000001</v>
      </c>
      <c r="C620" s="4">
        <f>B620/B$2*100</f>
        <v/>
      </c>
      <c r="D620" s="5">
        <f>AVERAGE(B591:B620)</f>
        <v/>
      </c>
      <c r="E620" s="5">
        <f>SLOPE(B$2:B$731,$A$2:$A$731)*$A620+INTERCEPT(B$2:B$731,$A$2:$A$731)</f>
        <v/>
      </c>
      <c r="F620" s="3" t="n">
        <v>0.79</v>
      </c>
      <c r="G620" s="4">
        <f>F620/F$2*100</f>
        <v/>
      </c>
      <c r="H620" s="5">
        <f>AVERAGE(F591:F620)</f>
        <v/>
      </c>
      <c r="I620" s="5">
        <f>SLOPE(F$2:F$731,$A$2:$A$731)*$A620+INTERCEPT(F$2:F$731,$A$2:$A$731)</f>
        <v/>
      </c>
      <c r="J620" s="6" t="inlineStr"/>
    </row>
    <row r="621">
      <c r="A621" s="2" t="n">
        <v>45911</v>
      </c>
      <c r="B621" s="3" t="n">
        <v>86.19</v>
      </c>
      <c r="C621" s="4">
        <f>B621/B$2*100</f>
        <v/>
      </c>
      <c r="D621" s="5">
        <f>AVERAGE(B592:B621)</f>
        <v/>
      </c>
      <c r="E621" s="5">
        <f>SLOPE(B$2:B$731,$A$2:$A$731)*$A621+INTERCEPT(B$2:B$731,$A$2:$A$731)</f>
        <v/>
      </c>
      <c r="F621" s="3" t="n">
        <v>0.79</v>
      </c>
      <c r="G621" s="4">
        <f>F621/F$2*100</f>
        <v/>
      </c>
      <c r="H621" s="5">
        <f>AVERAGE(F592:F621)</f>
        <v/>
      </c>
      <c r="I621" s="5">
        <f>SLOPE(F$2:F$731,$A$2:$A$731)*$A621+INTERCEPT(F$2:F$731,$A$2:$A$731)</f>
        <v/>
      </c>
      <c r="J621" s="6" t="inlineStr"/>
    </row>
    <row r="622">
      <c r="A622" s="2" t="n">
        <v>45912</v>
      </c>
      <c r="B622" s="3" t="n">
        <v>86.2</v>
      </c>
      <c r="C622" s="4">
        <f>B622/B$2*100</f>
        <v/>
      </c>
      <c r="D622" s="5">
        <f>AVERAGE(B593:B622)</f>
        <v/>
      </c>
      <c r="E622" s="5">
        <f>SLOPE(B$2:B$731,$A$2:$A$731)*$A622+INTERCEPT(B$2:B$731,$A$2:$A$731)</f>
        <v/>
      </c>
      <c r="F622" s="3" t="n">
        <v>0.79</v>
      </c>
      <c r="G622" s="4">
        <f>F622/F$2*100</f>
        <v/>
      </c>
      <c r="H622" s="5">
        <f>AVERAGE(F593:F622)</f>
        <v/>
      </c>
      <c r="I622" s="5">
        <f>SLOPE(F$2:F$731,$A$2:$A$731)*$A622+INTERCEPT(F$2:F$731,$A$2:$A$731)</f>
        <v/>
      </c>
      <c r="J622" s="6" t="inlineStr"/>
    </row>
    <row r="623">
      <c r="A623" s="2" t="n">
        <v>45913</v>
      </c>
      <c r="B623" s="3" t="n">
        <v>86.20999999999999</v>
      </c>
      <c r="C623" s="4">
        <f>B623/B$2*100</f>
        <v/>
      </c>
      <c r="D623" s="5">
        <f>AVERAGE(B594:B623)</f>
        <v/>
      </c>
      <c r="E623" s="5">
        <f>SLOPE(B$2:B$731,$A$2:$A$731)*$A623+INTERCEPT(B$2:B$731,$A$2:$A$731)</f>
        <v/>
      </c>
      <c r="F623" s="3" t="n">
        <v>0.79</v>
      </c>
      <c r="G623" s="4">
        <f>F623/F$2*100</f>
        <v/>
      </c>
      <c r="H623" s="5">
        <f>AVERAGE(F594:F623)</f>
        <v/>
      </c>
      <c r="I623" s="5">
        <f>SLOPE(F$2:F$731,$A$2:$A$731)*$A623+INTERCEPT(F$2:F$731,$A$2:$A$731)</f>
        <v/>
      </c>
      <c r="J623" s="6" t="inlineStr">
        <is>
          <t>yes</t>
        </is>
      </c>
    </row>
    <row r="624">
      <c r="A624" s="2" t="n">
        <v>45914</v>
      </c>
      <c r="B624" s="3" t="n">
        <v>86.22</v>
      </c>
      <c r="C624" s="4">
        <f>B624/B$2*100</f>
        <v/>
      </c>
      <c r="D624" s="5">
        <f>AVERAGE(B595:B624)</f>
        <v/>
      </c>
      <c r="E624" s="5">
        <f>SLOPE(B$2:B$731,$A$2:$A$731)*$A624+INTERCEPT(B$2:B$731,$A$2:$A$731)</f>
        <v/>
      </c>
      <c r="F624" s="3" t="n">
        <v>0.79</v>
      </c>
      <c r="G624" s="4">
        <f>F624/F$2*100</f>
        <v/>
      </c>
      <c r="H624" s="5">
        <f>AVERAGE(F595:F624)</f>
        <v/>
      </c>
      <c r="I624" s="5">
        <f>SLOPE(F$2:F$731,$A$2:$A$731)*$A624+INTERCEPT(F$2:F$731,$A$2:$A$731)</f>
        <v/>
      </c>
      <c r="J624" s="6" t="inlineStr">
        <is>
          <t>yes</t>
        </is>
      </c>
    </row>
    <row r="625">
      <c r="A625" s="2" t="n">
        <v>45915</v>
      </c>
      <c r="B625" s="3" t="n">
        <v>86.23</v>
      </c>
      <c r="C625" s="4">
        <f>B625/B$2*100</f>
        <v/>
      </c>
      <c r="D625" s="5">
        <f>AVERAGE(B596:B625)</f>
        <v/>
      </c>
      <c r="E625" s="5">
        <f>SLOPE(B$2:B$731,$A$2:$A$731)*$A625+INTERCEPT(B$2:B$731,$A$2:$A$731)</f>
        <v/>
      </c>
      <c r="F625" s="3" t="n">
        <v>0.79</v>
      </c>
      <c r="G625" s="4">
        <f>F625/F$2*100</f>
        <v/>
      </c>
      <c r="H625" s="5">
        <f>AVERAGE(F596:F625)</f>
        <v/>
      </c>
      <c r="I625" s="5">
        <f>SLOPE(F$2:F$731,$A$2:$A$731)*$A625+INTERCEPT(F$2:F$731,$A$2:$A$731)</f>
        <v/>
      </c>
      <c r="J625" s="6" t="inlineStr"/>
    </row>
    <row r="626">
      <c r="A626" s="2" t="n">
        <v>45916</v>
      </c>
      <c r="B626" s="3" t="n">
        <v>86.23999999999999</v>
      </c>
      <c r="C626" s="4">
        <f>B626/B$2*100</f>
        <v/>
      </c>
      <c r="D626" s="5">
        <f>AVERAGE(B597:B626)</f>
        <v/>
      </c>
      <c r="E626" s="5">
        <f>SLOPE(B$2:B$731,$A$2:$A$731)*$A626+INTERCEPT(B$2:B$731,$A$2:$A$731)</f>
        <v/>
      </c>
      <c r="F626" s="3" t="n">
        <v>0.79</v>
      </c>
      <c r="G626" s="4">
        <f>F626/F$2*100</f>
        <v/>
      </c>
      <c r="H626" s="5">
        <f>AVERAGE(F597:F626)</f>
        <v/>
      </c>
      <c r="I626" s="5">
        <f>SLOPE(F$2:F$731,$A$2:$A$731)*$A626+INTERCEPT(F$2:F$731,$A$2:$A$731)</f>
        <v/>
      </c>
      <c r="J626" s="6" t="inlineStr"/>
    </row>
    <row r="627">
      <c r="A627" s="2" t="n">
        <v>45917</v>
      </c>
      <c r="B627" s="3" t="n">
        <v>86.25</v>
      </c>
      <c r="C627" s="4">
        <f>B627/B$2*100</f>
        <v/>
      </c>
      <c r="D627" s="5">
        <f>AVERAGE(B598:B627)</f>
        <v/>
      </c>
      <c r="E627" s="5">
        <f>SLOPE(B$2:B$731,$A$2:$A$731)*$A627+INTERCEPT(B$2:B$731,$A$2:$A$731)</f>
        <v/>
      </c>
      <c r="F627" s="3" t="n">
        <v>0.79</v>
      </c>
      <c r="G627" s="4">
        <f>F627/F$2*100</f>
        <v/>
      </c>
      <c r="H627" s="5">
        <f>AVERAGE(F598:F627)</f>
        <v/>
      </c>
      <c r="I627" s="5">
        <f>SLOPE(F$2:F$731,$A$2:$A$731)*$A627+INTERCEPT(F$2:F$731,$A$2:$A$731)</f>
        <v/>
      </c>
      <c r="J627" s="6" t="inlineStr"/>
    </row>
    <row r="628">
      <c r="A628" s="2" t="n">
        <v>45918</v>
      </c>
      <c r="B628" s="3" t="n">
        <v>86.26000000000001</v>
      </c>
      <c r="C628" s="4">
        <f>B628/B$2*100</f>
        <v/>
      </c>
      <c r="D628" s="5">
        <f>AVERAGE(B599:B628)</f>
        <v/>
      </c>
      <c r="E628" s="5">
        <f>SLOPE(B$2:B$731,$A$2:$A$731)*$A628+INTERCEPT(B$2:B$731,$A$2:$A$731)</f>
        <v/>
      </c>
      <c r="F628" s="3" t="n">
        <v>0.79</v>
      </c>
      <c r="G628" s="4">
        <f>F628/F$2*100</f>
        <v/>
      </c>
      <c r="H628" s="5">
        <f>AVERAGE(F599:F628)</f>
        <v/>
      </c>
      <c r="I628" s="5">
        <f>SLOPE(F$2:F$731,$A$2:$A$731)*$A628+INTERCEPT(F$2:F$731,$A$2:$A$731)</f>
        <v/>
      </c>
      <c r="J628" s="6" t="inlineStr"/>
    </row>
    <row r="629">
      <c r="A629" s="2" t="n">
        <v>45919</v>
      </c>
      <c r="B629" s="3" t="n">
        <v>86.27</v>
      </c>
      <c r="C629" s="4">
        <f>B629/B$2*100</f>
        <v/>
      </c>
      <c r="D629" s="5">
        <f>AVERAGE(B600:B629)</f>
        <v/>
      </c>
      <c r="E629" s="5">
        <f>SLOPE(B$2:B$731,$A$2:$A$731)*$A629+INTERCEPT(B$2:B$731,$A$2:$A$731)</f>
        <v/>
      </c>
      <c r="F629" s="3" t="n">
        <v>0.79</v>
      </c>
      <c r="G629" s="4">
        <f>F629/F$2*100</f>
        <v/>
      </c>
      <c r="H629" s="5">
        <f>AVERAGE(F600:F629)</f>
        <v/>
      </c>
      <c r="I629" s="5">
        <f>SLOPE(F$2:F$731,$A$2:$A$731)*$A629+INTERCEPT(F$2:F$731,$A$2:$A$731)</f>
        <v/>
      </c>
      <c r="J629" s="6" t="inlineStr"/>
    </row>
    <row r="630">
      <c r="A630" s="2" t="n">
        <v>45920</v>
      </c>
      <c r="B630" s="3" t="n">
        <v>86.28</v>
      </c>
      <c r="C630" s="4">
        <f>B630/B$2*100</f>
        <v/>
      </c>
      <c r="D630" s="5">
        <f>AVERAGE(B601:B630)</f>
        <v/>
      </c>
      <c r="E630" s="5">
        <f>SLOPE(B$2:B$731,$A$2:$A$731)*$A630+INTERCEPT(B$2:B$731,$A$2:$A$731)</f>
        <v/>
      </c>
      <c r="F630" s="3" t="n">
        <v>0.79</v>
      </c>
      <c r="G630" s="4">
        <f>F630/F$2*100</f>
        <v/>
      </c>
      <c r="H630" s="5">
        <f>AVERAGE(F601:F630)</f>
        <v/>
      </c>
      <c r="I630" s="5">
        <f>SLOPE(F$2:F$731,$A$2:$A$731)*$A630+INTERCEPT(F$2:F$731,$A$2:$A$731)</f>
        <v/>
      </c>
      <c r="J630" s="6" t="inlineStr">
        <is>
          <t>yes</t>
        </is>
      </c>
    </row>
    <row r="631">
      <c r="A631" s="2" t="n">
        <v>45921</v>
      </c>
      <c r="B631" s="3" t="n">
        <v>86.29000000000001</v>
      </c>
      <c r="C631" s="4">
        <f>B631/B$2*100</f>
        <v/>
      </c>
      <c r="D631" s="5">
        <f>AVERAGE(B602:B631)</f>
        <v/>
      </c>
      <c r="E631" s="5">
        <f>SLOPE(B$2:B$731,$A$2:$A$731)*$A631+INTERCEPT(B$2:B$731,$A$2:$A$731)</f>
        <v/>
      </c>
      <c r="F631" s="3" t="n">
        <v>0.79</v>
      </c>
      <c r="G631" s="4">
        <f>F631/F$2*100</f>
        <v/>
      </c>
      <c r="H631" s="5">
        <f>AVERAGE(F602:F631)</f>
        <v/>
      </c>
      <c r="I631" s="5">
        <f>SLOPE(F$2:F$731,$A$2:$A$731)*$A631+INTERCEPT(F$2:F$731,$A$2:$A$731)</f>
        <v/>
      </c>
      <c r="J631" s="6" t="inlineStr">
        <is>
          <t>yes</t>
        </is>
      </c>
    </row>
    <row r="632">
      <c r="A632" s="2" t="n">
        <v>45922</v>
      </c>
      <c r="B632" s="3" t="n">
        <v>86.3</v>
      </c>
      <c r="C632" s="4">
        <f>B632/B$2*100</f>
        <v/>
      </c>
      <c r="D632" s="5">
        <f>AVERAGE(B603:B632)</f>
        <v/>
      </c>
      <c r="E632" s="5">
        <f>SLOPE(B$2:B$731,$A$2:$A$731)*$A632+INTERCEPT(B$2:B$731,$A$2:$A$731)</f>
        <v/>
      </c>
      <c r="F632" s="3" t="n">
        <v>0.79</v>
      </c>
      <c r="G632" s="4">
        <f>F632/F$2*100</f>
        <v/>
      </c>
      <c r="H632" s="5">
        <f>AVERAGE(F603:F632)</f>
        <v/>
      </c>
      <c r="I632" s="5">
        <f>SLOPE(F$2:F$731,$A$2:$A$731)*$A632+INTERCEPT(F$2:F$731,$A$2:$A$731)</f>
        <v/>
      </c>
      <c r="J632" s="6" t="inlineStr"/>
    </row>
    <row r="633">
      <c r="A633" s="2" t="n">
        <v>45923</v>
      </c>
      <c r="B633" s="3" t="n">
        <v>86.31</v>
      </c>
      <c r="C633" s="4">
        <f>B633/B$2*100</f>
        <v/>
      </c>
      <c r="D633" s="5">
        <f>AVERAGE(B604:B633)</f>
        <v/>
      </c>
      <c r="E633" s="5">
        <f>SLOPE(B$2:B$731,$A$2:$A$731)*$A633+INTERCEPT(B$2:B$731,$A$2:$A$731)</f>
        <v/>
      </c>
      <c r="F633" s="3" t="n">
        <v>0.79</v>
      </c>
      <c r="G633" s="4">
        <f>F633/F$2*100</f>
        <v/>
      </c>
      <c r="H633" s="5">
        <f>AVERAGE(F604:F633)</f>
        <v/>
      </c>
      <c r="I633" s="5">
        <f>SLOPE(F$2:F$731,$A$2:$A$731)*$A633+INTERCEPT(F$2:F$731,$A$2:$A$731)</f>
        <v/>
      </c>
      <c r="J633" s="6" t="inlineStr"/>
    </row>
    <row r="634">
      <c r="A634" s="2" t="n">
        <v>45924</v>
      </c>
      <c r="B634" s="3" t="n">
        <v>86.31999999999999</v>
      </c>
      <c r="C634" s="4">
        <f>B634/B$2*100</f>
        <v/>
      </c>
      <c r="D634" s="5">
        <f>AVERAGE(B605:B634)</f>
        <v/>
      </c>
      <c r="E634" s="5">
        <f>SLOPE(B$2:B$731,$A$2:$A$731)*$A634+INTERCEPT(B$2:B$731,$A$2:$A$731)</f>
        <v/>
      </c>
      <c r="F634" s="3" t="n">
        <v>0.79</v>
      </c>
      <c r="G634" s="4">
        <f>F634/F$2*100</f>
        <v/>
      </c>
      <c r="H634" s="5">
        <f>AVERAGE(F605:F634)</f>
        <v/>
      </c>
      <c r="I634" s="5">
        <f>SLOPE(F$2:F$731,$A$2:$A$731)*$A634+INTERCEPT(F$2:F$731,$A$2:$A$731)</f>
        <v/>
      </c>
      <c r="J634" s="6" t="inlineStr"/>
    </row>
    <row r="635">
      <c r="A635" s="2" t="n">
        <v>45925</v>
      </c>
      <c r="B635" s="3" t="n">
        <v>86.33</v>
      </c>
      <c r="C635" s="4">
        <f>B635/B$2*100</f>
        <v/>
      </c>
      <c r="D635" s="5">
        <f>AVERAGE(B606:B635)</f>
        <v/>
      </c>
      <c r="E635" s="5">
        <f>SLOPE(B$2:B$731,$A$2:$A$731)*$A635+INTERCEPT(B$2:B$731,$A$2:$A$731)</f>
        <v/>
      </c>
      <c r="F635" s="3" t="n">
        <v>0.79</v>
      </c>
      <c r="G635" s="4">
        <f>F635/F$2*100</f>
        <v/>
      </c>
      <c r="H635" s="5">
        <f>AVERAGE(F606:F635)</f>
        <v/>
      </c>
      <c r="I635" s="5">
        <f>SLOPE(F$2:F$731,$A$2:$A$731)*$A635+INTERCEPT(F$2:F$731,$A$2:$A$731)</f>
        <v/>
      </c>
      <c r="J635" s="6" t="inlineStr"/>
    </row>
    <row r="636">
      <c r="A636" s="2" t="n">
        <v>45926</v>
      </c>
      <c r="B636" s="3" t="n">
        <v>86.34</v>
      </c>
      <c r="C636" s="4">
        <f>B636/B$2*100</f>
        <v/>
      </c>
      <c r="D636" s="5">
        <f>AVERAGE(B607:B636)</f>
        <v/>
      </c>
      <c r="E636" s="5">
        <f>SLOPE(B$2:B$731,$A$2:$A$731)*$A636+INTERCEPT(B$2:B$731,$A$2:$A$731)</f>
        <v/>
      </c>
      <c r="F636" s="3" t="n">
        <v>0.79</v>
      </c>
      <c r="G636" s="4">
        <f>F636/F$2*100</f>
        <v/>
      </c>
      <c r="H636" s="5">
        <f>AVERAGE(F607:F636)</f>
        <v/>
      </c>
      <c r="I636" s="5">
        <f>SLOPE(F$2:F$731,$A$2:$A$731)*$A636+INTERCEPT(F$2:F$731,$A$2:$A$731)</f>
        <v/>
      </c>
      <c r="J636" s="6" t="inlineStr"/>
    </row>
    <row r="637">
      <c r="A637" s="2" t="n">
        <v>45927</v>
      </c>
      <c r="B637" s="3" t="n">
        <v>86.34999999999999</v>
      </c>
      <c r="C637" s="4">
        <f>B637/B$2*100</f>
        <v/>
      </c>
      <c r="D637" s="5">
        <f>AVERAGE(B608:B637)</f>
        <v/>
      </c>
      <c r="E637" s="5">
        <f>SLOPE(B$2:B$731,$A$2:$A$731)*$A637+INTERCEPT(B$2:B$731,$A$2:$A$731)</f>
        <v/>
      </c>
      <c r="F637" s="3" t="n">
        <v>0.79</v>
      </c>
      <c r="G637" s="4">
        <f>F637/F$2*100</f>
        <v/>
      </c>
      <c r="H637" s="5">
        <f>AVERAGE(F608:F637)</f>
        <v/>
      </c>
      <c r="I637" s="5">
        <f>SLOPE(F$2:F$731,$A$2:$A$731)*$A637+INTERCEPT(F$2:F$731,$A$2:$A$731)</f>
        <v/>
      </c>
      <c r="J637" s="6" t="inlineStr">
        <is>
          <t>yes</t>
        </is>
      </c>
    </row>
    <row r="638">
      <c r="A638" s="2" t="n">
        <v>45928</v>
      </c>
      <c r="B638" s="3" t="n">
        <v>86.36</v>
      </c>
      <c r="C638" s="4">
        <f>B638/B$2*100</f>
        <v/>
      </c>
      <c r="D638" s="5">
        <f>AVERAGE(B609:B638)</f>
        <v/>
      </c>
      <c r="E638" s="5">
        <f>SLOPE(B$2:B$731,$A$2:$A$731)*$A638+INTERCEPT(B$2:B$731,$A$2:$A$731)</f>
        <v/>
      </c>
      <c r="F638" s="3" t="n">
        <v>0.79</v>
      </c>
      <c r="G638" s="4">
        <f>F638/F$2*100</f>
        <v/>
      </c>
      <c r="H638" s="5">
        <f>AVERAGE(F609:F638)</f>
        <v/>
      </c>
      <c r="I638" s="5">
        <f>SLOPE(F$2:F$731,$A$2:$A$731)*$A638+INTERCEPT(F$2:F$731,$A$2:$A$731)</f>
        <v/>
      </c>
      <c r="J638" s="6" t="inlineStr">
        <is>
          <t>yes</t>
        </is>
      </c>
    </row>
    <row r="639">
      <c r="A639" s="2" t="n">
        <v>45929</v>
      </c>
      <c r="B639" s="3" t="n">
        <v>86.37</v>
      </c>
      <c r="C639" s="4">
        <f>B639/B$2*100</f>
        <v/>
      </c>
      <c r="D639" s="5">
        <f>AVERAGE(B610:B639)</f>
        <v/>
      </c>
      <c r="E639" s="5">
        <f>SLOPE(B$2:B$731,$A$2:$A$731)*$A639+INTERCEPT(B$2:B$731,$A$2:$A$731)</f>
        <v/>
      </c>
      <c r="F639" s="3" t="n">
        <v>0.79</v>
      </c>
      <c r="G639" s="4">
        <f>F639/F$2*100</f>
        <v/>
      </c>
      <c r="H639" s="5">
        <f>AVERAGE(F610:F639)</f>
        <v/>
      </c>
      <c r="I639" s="5">
        <f>SLOPE(F$2:F$731,$A$2:$A$731)*$A639+INTERCEPT(F$2:F$731,$A$2:$A$731)</f>
        <v/>
      </c>
      <c r="J639" s="6" t="inlineStr"/>
    </row>
    <row r="640">
      <c r="A640" s="2" t="n">
        <v>45930</v>
      </c>
      <c r="B640" s="3" t="n">
        <v>86.38</v>
      </c>
      <c r="C640" s="4">
        <f>B640/B$2*100</f>
        <v/>
      </c>
      <c r="D640" s="5">
        <f>AVERAGE(B611:B640)</f>
        <v/>
      </c>
      <c r="E640" s="5">
        <f>SLOPE(B$2:B$731,$A$2:$A$731)*$A640+INTERCEPT(B$2:B$731,$A$2:$A$731)</f>
        <v/>
      </c>
      <c r="F640" s="3" t="n">
        <v>0.79</v>
      </c>
      <c r="G640" s="4">
        <f>F640/F$2*100</f>
        <v/>
      </c>
      <c r="H640" s="5">
        <f>AVERAGE(F611:F640)</f>
        <v/>
      </c>
      <c r="I640" s="5">
        <f>SLOPE(F$2:F$731,$A$2:$A$731)*$A640+INTERCEPT(F$2:F$731,$A$2:$A$731)</f>
        <v/>
      </c>
      <c r="J640" s="6" t="inlineStr"/>
    </row>
    <row r="641">
      <c r="A641" s="2" t="n">
        <v>45931</v>
      </c>
      <c r="B641" s="3" t="n">
        <v>86.39</v>
      </c>
      <c r="C641" s="4">
        <f>B641/B$2*100</f>
        <v/>
      </c>
      <c r="D641" s="5">
        <f>AVERAGE(B612:B641)</f>
        <v/>
      </c>
      <c r="E641" s="5">
        <f>SLOPE(B$2:B$731,$A$2:$A$731)*$A641+INTERCEPT(B$2:B$731,$A$2:$A$731)</f>
        <v/>
      </c>
      <c r="F641" s="3" t="n">
        <v>0.79</v>
      </c>
      <c r="G641" s="4">
        <f>F641/F$2*100</f>
        <v/>
      </c>
      <c r="H641" s="5">
        <f>AVERAGE(F612:F641)</f>
        <v/>
      </c>
      <c r="I641" s="5">
        <f>SLOPE(F$2:F$731,$A$2:$A$731)*$A641+INTERCEPT(F$2:F$731,$A$2:$A$731)</f>
        <v/>
      </c>
      <c r="J641" s="6" t="inlineStr"/>
    </row>
    <row r="642">
      <c r="A642" s="2" t="n">
        <v>45932</v>
      </c>
      <c r="B642" s="3" t="n">
        <v>86.40000000000001</v>
      </c>
      <c r="C642" s="4">
        <f>B642/B$2*100</f>
        <v/>
      </c>
      <c r="D642" s="5">
        <f>AVERAGE(B613:B642)</f>
        <v/>
      </c>
      <c r="E642" s="5">
        <f>SLOPE(B$2:B$731,$A$2:$A$731)*$A642+INTERCEPT(B$2:B$731,$A$2:$A$731)</f>
        <v/>
      </c>
      <c r="F642" s="3" t="n">
        <v>0.79</v>
      </c>
      <c r="G642" s="4">
        <f>F642/F$2*100</f>
        <v/>
      </c>
      <c r="H642" s="5">
        <f>AVERAGE(F613:F642)</f>
        <v/>
      </c>
      <c r="I642" s="5">
        <f>SLOPE(F$2:F$731,$A$2:$A$731)*$A642+INTERCEPT(F$2:F$731,$A$2:$A$731)</f>
        <v/>
      </c>
      <c r="J642" s="6" t="inlineStr"/>
    </row>
    <row r="643">
      <c r="A643" s="2" t="n">
        <v>45933</v>
      </c>
      <c r="B643" s="3" t="n">
        <v>86.41</v>
      </c>
      <c r="C643" s="4">
        <f>B643/B$2*100</f>
        <v/>
      </c>
      <c r="D643" s="5">
        <f>AVERAGE(B614:B643)</f>
        <v/>
      </c>
      <c r="E643" s="5">
        <f>SLOPE(B$2:B$731,$A$2:$A$731)*$A643+INTERCEPT(B$2:B$731,$A$2:$A$731)</f>
        <v/>
      </c>
      <c r="F643" s="3" t="n">
        <v>0.79</v>
      </c>
      <c r="G643" s="4">
        <f>F643/F$2*100</f>
        <v/>
      </c>
      <c r="H643" s="5">
        <f>AVERAGE(F614:F643)</f>
        <v/>
      </c>
      <c r="I643" s="5">
        <f>SLOPE(F$2:F$731,$A$2:$A$731)*$A643+INTERCEPT(F$2:F$731,$A$2:$A$731)</f>
        <v/>
      </c>
      <c r="J643" s="6" t="inlineStr"/>
    </row>
    <row r="644">
      <c r="A644" s="2" t="n">
        <v>45934</v>
      </c>
      <c r="B644" s="3" t="n">
        <v>86.42</v>
      </c>
      <c r="C644" s="4">
        <f>B644/B$2*100</f>
        <v/>
      </c>
      <c r="D644" s="5">
        <f>AVERAGE(B615:B644)</f>
        <v/>
      </c>
      <c r="E644" s="5">
        <f>SLOPE(B$2:B$731,$A$2:$A$731)*$A644+INTERCEPT(B$2:B$731,$A$2:$A$731)</f>
        <v/>
      </c>
      <c r="F644" s="3" t="n">
        <v>0.79</v>
      </c>
      <c r="G644" s="4">
        <f>F644/F$2*100</f>
        <v/>
      </c>
      <c r="H644" s="5">
        <f>AVERAGE(F615:F644)</f>
        <v/>
      </c>
      <c r="I644" s="5">
        <f>SLOPE(F$2:F$731,$A$2:$A$731)*$A644+INTERCEPT(F$2:F$731,$A$2:$A$731)</f>
        <v/>
      </c>
      <c r="J644" s="6" t="inlineStr">
        <is>
          <t>yes</t>
        </is>
      </c>
    </row>
    <row r="645">
      <c r="A645" s="2" t="n">
        <v>45935</v>
      </c>
      <c r="B645" s="3" t="n">
        <v>86.43000000000001</v>
      </c>
      <c r="C645" s="4">
        <f>B645/B$2*100</f>
        <v/>
      </c>
      <c r="D645" s="5">
        <f>AVERAGE(B616:B645)</f>
        <v/>
      </c>
      <c r="E645" s="5">
        <f>SLOPE(B$2:B$731,$A$2:$A$731)*$A645+INTERCEPT(B$2:B$731,$A$2:$A$731)</f>
        <v/>
      </c>
      <c r="F645" s="3" t="n">
        <v>0.79</v>
      </c>
      <c r="G645" s="4">
        <f>F645/F$2*100</f>
        <v/>
      </c>
      <c r="H645" s="5">
        <f>AVERAGE(F616:F645)</f>
        <v/>
      </c>
      <c r="I645" s="5">
        <f>SLOPE(F$2:F$731,$A$2:$A$731)*$A645+INTERCEPT(F$2:F$731,$A$2:$A$731)</f>
        <v/>
      </c>
      <c r="J645" s="6" t="inlineStr">
        <is>
          <t>yes</t>
        </is>
      </c>
    </row>
    <row r="646">
      <c r="A646" s="2" t="n">
        <v>45936</v>
      </c>
      <c r="B646" s="3" t="n">
        <v>86.44</v>
      </c>
      <c r="C646" s="4">
        <f>B646/B$2*100</f>
        <v/>
      </c>
      <c r="D646" s="5">
        <f>AVERAGE(B617:B646)</f>
        <v/>
      </c>
      <c r="E646" s="5">
        <f>SLOPE(B$2:B$731,$A$2:$A$731)*$A646+INTERCEPT(B$2:B$731,$A$2:$A$731)</f>
        <v/>
      </c>
      <c r="F646" s="3" t="n">
        <v>0.79</v>
      </c>
      <c r="G646" s="4">
        <f>F646/F$2*100</f>
        <v/>
      </c>
      <c r="H646" s="5">
        <f>AVERAGE(F617:F646)</f>
        <v/>
      </c>
      <c r="I646" s="5">
        <f>SLOPE(F$2:F$731,$A$2:$A$731)*$A646+INTERCEPT(F$2:F$731,$A$2:$A$731)</f>
        <v/>
      </c>
      <c r="J646" s="6" t="inlineStr"/>
    </row>
    <row r="647">
      <c r="A647" s="2" t="n">
        <v>45937</v>
      </c>
      <c r="B647" s="3" t="n">
        <v>86.45</v>
      </c>
      <c r="C647" s="4">
        <f>B647/B$2*100</f>
        <v/>
      </c>
      <c r="D647" s="5">
        <f>AVERAGE(B618:B647)</f>
        <v/>
      </c>
      <c r="E647" s="5">
        <f>SLOPE(B$2:B$731,$A$2:$A$731)*$A647+INTERCEPT(B$2:B$731,$A$2:$A$731)</f>
        <v/>
      </c>
      <c r="F647" s="3" t="n">
        <v>0.79</v>
      </c>
      <c r="G647" s="4">
        <f>F647/F$2*100</f>
        <v/>
      </c>
      <c r="H647" s="5">
        <f>AVERAGE(F618:F647)</f>
        <v/>
      </c>
      <c r="I647" s="5">
        <f>SLOPE(F$2:F$731,$A$2:$A$731)*$A647+INTERCEPT(F$2:F$731,$A$2:$A$731)</f>
        <v/>
      </c>
      <c r="J647" s="6" t="inlineStr"/>
    </row>
    <row r="648">
      <c r="A648" s="2" t="n">
        <v>45938</v>
      </c>
      <c r="B648" s="3" t="n">
        <v>86.45999999999999</v>
      </c>
      <c r="C648" s="4">
        <f>B648/B$2*100</f>
        <v/>
      </c>
      <c r="D648" s="5">
        <f>AVERAGE(B619:B648)</f>
        <v/>
      </c>
      <c r="E648" s="5">
        <f>SLOPE(B$2:B$731,$A$2:$A$731)*$A648+INTERCEPT(B$2:B$731,$A$2:$A$731)</f>
        <v/>
      </c>
      <c r="F648" s="3" t="n">
        <v>0.79</v>
      </c>
      <c r="G648" s="4">
        <f>F648/F$2*100</f>
        <v/>
      </c>
      <c r="H648" s="5">
        <f>AVERAGE(F619:F648)</f>
        <v/>
      </c>
      <c r="I648" s="5">
        <f>SLOPE(F$2:F$731,$A$2:$A$731)*$A648+INTERCEPT(F$2:F$731,$A$2:$A$731)</f>
        <v/>
      </c>
      <c r="J648" s="6" t="inlineStr"/>
    </row>
    <row r="649">
      <c r="A649" s="2" t="n">
        <v>45939</v>
      </c>
      <c r="B649" s="3" t="n">
        <v>86.47</v>
      </c>
      <c r="C649" s="4">
        <f>B649/B$2*100</f>
        <v/>
      </c>
      <c r="D649" s="5">
        <f>AVERAGE(B620:B649)</f>
        <v/>
      </c>
      <c r="E649" s="5">
        <f>SLOPE(B$2:B$731,$A$2:$A$731)*$A649+INTERCEPT(B$2:B$731,$A$2:$A$731)</f>
        <v/>
      </c>
      <c r="F649" s="3" t="n">
        <v>0.79</v>
      </c>
      <c r="G649" s="4">
        <f>F649/F$2*100</f>
        <v/>
      </c>
      <c r="H649" s="5">
        <f>AVERAGE(F620:F649)</f>
        <v/>
      </c>
      <c r="I649" s="5">
        <f>SLOPE(F$2:F$731,$A$2:$A$731)*$A649+INTERCEPT(F$2:F$731,$A$2:$A$731)</f>
        <v/>
      </c>
      <c r="J649" s="6" t="inlineStr"/>
    </row>
    <row r="650">
      <c r="A650" s="2" t="n">
        <v>45940</v>
      </c>
      <c r="B650" s="3" t="n">
        <v>86.48</v>
      </c>
      <c r="C650" s="4">
        <f>B650/B$2*100</f>
        <v/>
      </c>
      <c r="D650" s="5">
        <f>AVERAGE(B621:B650)</f>
        <v/>
      </c>
      <c r="E650" s="5">
        <f>SLOPE(B$2:B$731,$A$2:$A$731)*$A650+INTERCEPT(B$2:B$731,$A$2:$A$731)</f>
        <v/>
      </c>
      <c r="F650" s="3" t="n">
        <v>0.79</v>
      </c>
      <c r="G650" s="4">
        <f>F650/F$2*100</f>
        <v/>
      </c>
      <c r="H650" s="5">
        <f>AVERAGE(F621:F650)</f>
        <v/>
      </c>
      <c r="I650" s="5">
        <f>SLOPE(F$2:F$731,$A$2:$A$731)*$A650+INTERCEPT(F$2:F$731,$A$2:$A$731)</f>
        <v/>
      </c>
      <c r="J650" s="6" t="inlineStr"/>
    </row>
    <row r="651">
      <c r="A651" s="2" t="n">
        <v>45941</v>
      </c>
      <c r="B651" s="3" t="n">
        <v>86.48999999999999</v>
      </c>
      <c r="C651" s="4">
        <f>B651/B$2*100</f>
        <v/>
      </c>
      <c r="D651" s="5">
        <f>AVERAGE(B622:B651)</f>
        <v/>
      </c>
      <c r="E651" s="5">
        <f>SLOPE(B$2:B$731,$A$2:$A$731)*$A651+INTERCEPT(B$2:B$731,$A$2:$A$731)</f>
        <v/>
      </c>
      <c r="F651" s="3" t="n">
        <v>0.79</v>
      </c>
      <c r="G651" s="4">
        <f>F651/F$2*100</f>
        <v/>
      </c>
      <c r="H651" s="5">
        <f>AVERAGE(F622:F651)</f>
        <v/>
      </c>
      <c r="I651" s="5">
        <f>SLOPE(F$2:F$731,$A$2:$A$731)*$A651+INTERCEPT(F$2:F$731,$A$2:$A$731)</f>
        <v/>
      </c>
      <c r="J651" s="6" t="inlineStr">
        <is>
          <t>yes</t>
        </is>
      </c>
    </row>
    <row r="652">
      <c r="A652" s="2" t="n">
        <v>45942</v>
      </c>
      <c r="B652" s="3" t="n">
        <v>86.5</v>
      </c>
      <c r="C652" s="4">
        <f>B652/B$2*100</f>
        <v/>
      </c>
      <c r="D652" s="5">
        <f>AVERAGE(B623:B652)</f>
        <v/>
      </c>
      <c r="E652" s="5">
        <f>SLOPE(B$2:B$731,$A$2:$A$731)*$A652+INTERCEPT(B$2:B$731,$A$2:$A$731)</f>
        <v/>
      </c>
      <c r="F652" s="3" t="n">
        <v>0.79</v>
      </c>
      <c r="G652" s="4">
        <f>F652/F$2*100</f>
        <v/>
      </c>
      <c r="H652" s="5">
        <f>AVERAGE(F623:F652)</f>
        <v/>
      </c>
      <c r="I652" s="5">
        <f>SLOPE(F$2:F$731,$A$2:$A$731)*$A652+INTERCEPT(F$2:F$731,$A$2:$A$731)</f>
        <v/>
      </c>
      <c r="J652" s="6" t="inlineStr">
        <is>
          <t>yes</t>
        </is>
      </c>
    </row>
    <row r="653">
      <c r="A653" s="2" t="n">
        <v>45943</v>
      </c>
      <c r="B653" s="3" t="n">
        <v>86.51000000000001</v>
      </c>
      <c r="C653" s="4">
        <f>B653/B$2*100</f>
        <v/>
      </c>
      <c r="D653" s="5">
        <f>AVERAGE(B624:B653)</f>
        <v/>
      </c>
      <c r="E653" s="5">
        <f>SLOPE(B$2:B$731,$A$2:$A$731)*$A653+INTERCEPT(B$2:B$731,$A$2:$A$731)</f>
        <v/>
      </c>
      <c r="F653" s="3" t="n">
        <v>0.79</v>
      </c>
      <c r="G653" s="4">
        <f>F653/F$2*100</f>
        <v/>
      </c>
      <c r="H653" s="5">
        <f>AVERAGE(F624:F653)</f>
        <v/>
      </c>
      <c r="I653" s="5">
        <f>SLOPE(F$2:F$731,$A$2:$A$731)*$A653+INTERCEPT(F$2:F$731,$A$2:$A$731)</f>
        <v/>
      </c>
      <c r="J653" s="6" t="inlineStr"/>
    </row>
    <row r="654">
      <c r="A654" s="2" t="n">
        <v>45944</v>
      </c>
      <c r="B654" s="3" t="n">
        <v>86.52</v>
      </c>
      <c r="C654" s="4">
        <f>B654/B$2*100</f>
        <v/>
      </c>
      <c r="D654" s="5">
        <f>AVERAGE(B625:B654)</f>
        <v/>
      </c>
      <c r="E654" s="5">
        <f>SLOPE(B$2:B$731,$A$2:$A$731)*$A654+INTERCEPT(B$2:B$731,$A$2:$A$731)</f>
        <v/>
      </c>
      <c r="F654" s="3" t="n">
        <v>0.79</v>
      </c>
      <c r="G654" s="4">
        <f>F654/F$2*100</f>
        <v/>
      </c>
      <c r="H654" s="5">
        <f>AVERAGE(F625:F654)</f>
        <v/>
      </c>
      <c r="I654" s="5">
        <f>SLOPE(F$2:F$731,$A$2:$A$731)*$A654+INTERCEPT(F$2:F$731,$A$2:$A$731)</f>
        <v/>
      </c>
      <c r="J654" s="6" t="inlineStr"/>
    </row>
    <row r="655">
      <c r="A655" s="2" t="n">
        <v>45945</v>
      </c>
      <c r="B655" s="3" t="n">
        <v>86.53</v>
      </c>
      <c r="C655" s="4">
        <f>B655/B$2*100</f>
        <v/>
      </c>
      <c r="D655" s="5">
        <f>AVERAGE(B626:B655)</f>
        <v/>
      </c>
      <c r="E655" s="5">
        <f>SLOPE(B$2:B$731,$A$2:$A$731)*$A655+INTERCEPT(B$2:B$731,$A$2:$A$731)</f>
        <v/>
      </c>
      <c r="F655" s="3" t="n">
        <v>0.79</v>
      </c>
      <c r="G655" s="4">
        <f>F655/F$2*100</f>
        <v/>
      </c>
      <c r="H655" s="5">
        <f>AVERAGE(F626:F655)</f>
        <v/>
      </c>
      <c r="I655" s="5">
        <f>SLOPE(F$2:F$731,$A$2:$A$731)*$A655+INTERCEPT(F$2:F$731,$A$2:$A$731)</f>
        <v/>
      </c>
      <c r="J655" s="6" t="inlineStr"/>
    </row>
    <row r="656">
      <c r="A656" s="2" t="n">
        <v>45946</v>
      </c>
      <c r="B656" s="3" t="n">
        <v>86.54000000000001</v>
      </c>
      <c r="C656" s="4">
        <f>B656/B$2*100</f>
        <v/>
      </c>
      <c r="D656" s="5">
        <f>AVERAGE(B627:B656)</f>
        <v/>
      </c>
      <c r="E656" s="5">
        <f>SLOPE(B$2:B$731,$A$2:$A$731)*$A656+INTERCEPT(B$2:B$731,$A$2:$A$731)</f>
        <v/>
      </c>
      <c r="F656" s="3" t="n">
        <v>0.79</v>
      </c>
      <c r="G656" s="4">
        <f>F656/F$2*100</f>
        <v/>
      </c>
      <c r="H656" s="5">
        <f>AVERAGE(F627:F656)</f>
        <v/>
      </c>
      <c r="I656" s="5">
        <f>SLOPE(F$2:F$731,$A$2:$A$731)*$A656+INTERCEPT(F$2:F$731,$A$2:$A$731)</f>
        <v/>
      </c>
      <c r="J656" s="6" t="inlineStr"/>
    </row>
    <row r="657">
      <c r="A657" s="2" t="n">
        <v>45947</v>
      </c>
      <c r="B657" s="3" t="n">
        <v>86.55</v>
      </c>
      <c r="C657" s="4">
        <f>B657/B$2*100</f>
        <v/>
      </c>
      <c r="D657" s="5">
        <f>AVERAGE(B628:B657)</f>
        <v/>
      </c>
      <c r="E657" s="5">
        <f>SLOPE(B$2:B$731,$A$2:$A$731)*$A657+INTERCEPT(B$2:B$731,$A$2:$A$731)</f>
        <v/>
      </c>
      <c r="F657" s="3" t="n">
        <v>0.79</v>
      </c>
      <c r="G657" s="4">
        <f>F657/F$2*100</f>
        <v/>
      </c>
      <c r="H657" s="5">
        <f>AVERAGE(F628:F657)</f>
        <v/>
      </c>
      <c r="I657" s="5">
        <f>SLOPE(F$2:F$731,$A$2:$A$731)*$A657+INTERCEPT(F$2:F$731,$A$2:$A$731)</f>
        <v/>
      </c>
      <c r="J657" s="6" t="inlineStr"/>
    </row>
    <row r="658">
      <c r="A658" s="2" t="n">
        <v>45948</v>
      </c>
      <c r="B658" s="3" t="n">
        <v>86.56</v>
      </c>
      <c r="C658" s="4">
        <f>B658/B$2*100</f>
        <v/>
      </c>
      <c r="D658" s="5">
        <f>AVERAGE(B629:B658)</f>
        <v/>
      </c>
      <c r="E658" s="5">
        <f>SLOPE(B$2:B$731,$A$2:$A$731)*$A658+INTERCEPT(B$2:B$731,$A$2:$A$731)</f>
        <v/>
      </c>
      <c r="F658" s="3" t="n">
        <v>0.79</v>
      </c>
      <c r="G658" s="4">
        <f>F658/F$2*100</f>
        <v/>
      </c>
      <c r="H658" s="5">
        <f>AVERAGE(F629:F658)</f>
        <v/>
      </c>
      <c r="I658" s="5">
        <f>SLOPE(F$2:F$731,$A$2:$A$731)*$A658+INTERCEPT(F$2:F$731,$A$2:$A$731)</f>
        <v/>
      </c>
      <c r="J658" s="6" t="inlineStr">
        <is>
          <t>yes</t>
        </is>
      </c>
    </row>
    <row r="659">
      <c r="A659" s="2" t="n">
        <v>45949</v>
      </c>
      <c r="B659" s="3" t="n">
        <v>86.56999999999999</v>
      </c>
      <c r="C659" s="4">
        <f>B659/B$2*100</f>
        <v/>
      </c>
      <c r="D659" s="5">
        <f>AVERAGE(B630:B659)</f>
        <v/>
      </c>
      <c r="E659" s="5">
        <f>SLOPE(B$2:B$731,$A$2:$A$731)*$A659+INTERCEPT(B$2:B$731,$A$2:$A$731)</f>
        <v/>
      </c>
      <c r="F659" s="3" t="n">
        <v>0.79</v>
      </c>
      <c r="G659" s="4">
        <f>F659/F$2*100</f>
        <v/>
      </c>
      <c r="H659" s="5">
        <f>AVERAGE(F630:F659)</f>
        <v/>
      </c>
      <c r="I659" s="5">
        <f>SLOPE(F$2:F$731,$A$2:$A$731)*$A659+INTERCEPT(F$2:F$731,$A$2:$A$731)</f>
        <v/>
      </c>
      <c r="J659" s="6" t="inlineStr">
        <is>
          <t>yes</t>
        </is>
      </c>
    </row>
    <row r="660">
      <c r="A660" s="2" t="n">
        <v>45950</v>
      </c>
      <c r="B660" s="3" t="n">
        <v>86.58</v>
      </c>
      <c r="C660" s="4">
        <f>B660/B$2*100</f>
        <v/>
      </c>
      <c r="D660" s="5">
        <f>AVERAGE(B631:B660)</f>
        <v/>
      </c>
      <c r="E660" s="5">
        <f>SLOPE(B$2:B$731,$A$2:$A$731)*$A660+INTERCEPT(B$2:B$731,$A$2:$A$731)</f>
        <v/>
      </c>
      <c r="F660" s="3" t="n">
        <v>0.79</v>
      </c>
      <c r="G660" s="4">
        <f>F660/F$2*100</f>
        <v/>
      </c>
      <c r="H660" s="5">
        <f>AVERAGE(F631:F660)</f>
        <v/>
      </c>
      <c r="I660" s="5">
        <f>SLOPE(F$2:F$731,$A$2:$A$731)*$A660+INTERCEPT(F$2:F$731,$A$2:$A$731)</f>
        <v/>
      </c>
      <c r="J660" s="6" t="inlineStr"/>
    </row>
    <row r="661">
      <c r="A661" s="2" t="n">
        <v>45951</v>
      </c>
      <c r="B661" s="3" t="n">
        <v>86.59</v>
      </c>
      <c r="C661" s="4">
        <f>B661/B$2*100</f>
        <v/>
      </c>
      <c r="D661" s="5">
        <f>AVERAGE(B632:B661)</f>
        <v/>
      </c>
      <c r="E661" s="5">
        <f>SLOPE(B$2:B$731,$A$2:$A$731)*$A661+INTERCEPT(B$2:B$731,$A$2:$A$731)</f>
        <v/>
      </c>
      <c r="F661" s="3" t="n">
        <v>0.79</v>
      </c>
      <c r="G661" s="4">
        <f>F661/F$2*100</f>
        <v/>
      </c>
      <c r="H661" s="5">
        <f>AVERAGE(F632:F661)</f>
        <v/>
      </c>
      <c r="I661" s="5">
        <f>SLOPE(F$2:F$731,$A$2:$A$731)*$A661+INTERCEPT(F$2:F$731,$A$2:$A$731)</f>
        <v/>
      </c>
      <c r="J661" s="6" t="inlineStr"/>
    </row>
    <row r="662">
      <c r="A662" s="2" t="n">
        <v>45952</v>
      </c>
      <c r="B662" s="3" t="n">
        <v>86.59999999999999</v>
      </c>
      <c r="C662" s="4">
        <f>B662/B$2*100</f>
        <v/>
      </c>
      <c r="D662" s="5">
        <f>AVERAGE(B633:B662)</f>
        <v/>
      </c>
      <c r="E662" s="5">
        <f>SLOPE(B$2:B$731,$A$2:$A$731)*$A662+INTERCEPT(B$2:B$731,$A$2:$A$731)</f>
        <v/>
      </c>
      <c r="F662" s="3" t="n">
        <v>0.79</v>
      </c>
      <c r="G662" s="4">
        <f>F662/F$2*100</f>
        <v/>
      </c>
      <c r="H662" s="5">
        <f>AVERAGE(F633:F662)</f>
        <v/>
      </c>
      <c r="I662" s="5">
        <f>SLOPE(F$2:F$731,$A$2:$A$731)*$A662+INTERCEPT(F$2:F$731,$A$2:$A$731)</f>
        <v/>
      </c>
      <c r="J662" s="6" t="inlineStr"/>
    </row>
    <row r="663">
      <c r="A663" s="2" t="n">
        <v>45953</v>
      </c>
      <c r="B663" s="3" t="n">
        <v>86.61</v>
      </c>
      <c r="C663" s="4">
        <f>B663/B$2*100</f>
        <v/>
      </c>
      <c r="D663" s="5">
        <f>AVERAGE(B634:B663)</f>
        <v/>
      </c>
      <c r="E663" s="5">
        <f>SLOPE(B$2:B$731,$A$2:$A$731)*$A663+INTERCEPT(B$2:B$731,$A$2:$A$731)</f>
        <v/>
      </c>
      <c r="F663" s="3" t="n">
        <v>0.79</v>
      </c>
      <c r="G663" s="4">
        <f>F663/F$2*100</f>
        <v/>
      </c>
      <c r="H663" s="5">
        <f>AVERAGE(F634:F663)</f>
        <v/>
      </c>
      <c r="I663" s="5">
        <f>SLOPE(F$2:F$731,$A$2:$A$731)*$A663+INTERCEPT(F$2:F$731,$A$2:$A$731)</f>
        <v/>
      </c>
      <c r="J663" s="6" t="inlineStr"/>
    </row>
    <row r="664">
      <c r="A664" s="2" t="n">
        <v>45954</v>
      </c>
      <c r="B664" s="3" t="n">
        <v>86.62</v>
      </c>
      <c r="C664" s="4">
        <f>B664/B$2*100</f>
        <v/>
      </c>
      <c r="D664" s="5">
        <f>AVERAGE(B635:B664)</f>
        <v/>
      </c>
      <c r="E664" s="5">
        <f>SLOPE(B$2:B$731,$A$2:$A$731)*$A664+INTERCEPT(B$2:B$731,$A$2:$A$731)</f>
        <v/>
      </c>
      <c r="F664" s="3" t="n">
        <v>0.79</v>
      </c>
      <c r="G664" s="4">
        <f>F664/F$2*100</f>
        <v/>
      </c>
      <c r="H664" s="5">
        <f>AVERAGE(F635:F664)</f>
        <v/>
      </c>
      <c r="I664" s="5">
        <f>SLOPE(F$2:F$731,$A$2:$A$731)*$A664+INTERCEPT(F$2:F$731,$A$2:$A$731)</f>
        <v/>
      </c>
      <c r="J664" s="6" t="inlineStr"/>
    </row>
    <row r="665">
      <c r="A665" s="2" t="n">
        <v>45955</v>
      </c>
      <c r="B665" s="3" t="n">
        <v>86.63</v>
      </c>
      <c r="C665" s="4">
        <f>B665/B$2*100</f>
        <v/>
      </c>
      <c r="D665" s="5">
        <f>AVERAGE(B636:B665)</f>
        <v/>
      </c>
      <c r="E665" s="5">
        <f>SLOPE(B$2:B$731,$A$2:$A$731)*$A665+INTERCEPT(B$2:B$731,$A$2:$A$731)</f>
        <v/>
      </c>
      <c r="F665" s="3" t="n">
        <v>0.79</v>
      </c>
      <c r="G665" s="4">
        <f>F665/F$2*100</f>
        <v/>
      </c>
      <c r="H665" s="5">
        <f>AVERAGE(F636:F665)</f>
        <v/>
      </c>
      <c r="I665" s="5">
        <f>SLOPE(F$2:F$731,$A$2:$A$731)*$A665+INTERCEPT(F$2:F$731,$A$2:$A$731)</f>
        <v/>
      </c>
      <c r="J665" s="6" t="inlineStr">
        <is>
          <t>yes</t>
        </is>
      </c>
    </row>
    <row r="666">
      <c r="A666" s="2" t="n">
        <v>45956</v>
      </c>
      <c r="B666" s="3" t="n">
        <v>86.64</v>
      </c>
      <c r="C666" s="4">
        <f>B666/B$2*100</f>
        <v/>
      </c>
      <c r="D666" s="5">
        <f>AVERAGE(B637:B666)</f>
        <v/>
      </c>
      <c r="E666" s="5">
        <f>SLOPE(B$2:B$731,$A$2:$A$731)*$A666+INTERCEPT(B$2:B$731,$A$2:$A$731)</f>
        <v/>
      </c>
      <c r="F666" s="3" t="n">
        <v>0.79</v>
      </c>
      <c r="G666" s="4">
        <f>F666/F$2*100</f>
        <v/>
      </c>
      <c r="H666" s="5">
        <f>AVERAGE(F637:F666)</f>
        <v/>
      </c>
      <c r="I666" s="5">
        <f>SLOPE(F$2:F$731,$A$2:$A$731)*$A666+INTERCEPT(F$2:F$731,$A$2:$A$731)</f>
        <v/>
      </c>
      <c r="J666" s="6" t="inlineStr">
        <is>
          <t>yes</t>
        </is>
      </c>
    </row>
    <row r="667">
      <c r="A667" s="2" t="n">
        <v>45957</v>
      </c>
      <c r="B667" s="3" t="n">
        <v>86.65000000000001</v>
      </c>
      <c r="C667" s="4">
        <f>B667/B$2*100</f>
        <v/>
      </c>
      <c r="D667" s="5">
        <f>AVERAGE(B638:B667)</f>
        <v/>
      </c>
      <c r="E667" s="5">
        <f>SLOPE(B$2:B$731,$A$2:$A$731)*$A667+INTERCEPT(B$2:B$731,$A$2:$A$731)</f>
        <v/>
      </c>
      <c r="F667" s="3" t="n">
        <v>0.79</v>
      </c>
      <c r="G667" s="4">
        <f>F667/F$2*100</f>
        <v/>
      </c>
      <c r="H667" s="5">
        <f>AVERAGE(F638:F667)</f>
        <v/>
      </c>
      <c r="I667" s="5">
        <f>SLOPE(F$2:F$731,$A$2:$A$731)*$A667+INTERCEPT(F$2:F$731,$A$2:$A$731)</f>
        <v/>
      </c>
      <c r="J667" s="6" t="inlineStr"/>
    </row>
    <row r="668">
      <c r="A668" s="2" t="n">
        <v>45958</v>
      </c>
      <c r="B668" s="3" t="n">
        <v>86.66</v>
      </c>
      <c r="C668" s="4">
        <f>B668/B$2*100</f>
        <v/>
      </c>
      <c r="D668" s="5">
        <f>AVERAGE(B639:B668)</f>
        <v/>
      </c>
      <c r="E668" s="5">
        <f>SLOPE(B$2:B$731,$A$2:$A$731)*$A668+INTERCEPT(B$2:B$731,$A$2:$A$731)</f>
        <v/>
      </c>
      <c r="F668" s="3" t="n">
        <v>0.79</v>
      </c>
      <c r="G668" s="4">
        <f>F668/F$2*100</f>
        <v/>
      </c>
      <c r="H668" s="5">
        <f>AVERAGE(F639:F668)</f>
        <v/>
      </c>
      <c r="I668" s="5">
        <f>SLOPE(F$2:F$731,$A$2:$A$731)*$A668+INTERCEPT(F$2:F$731,$A$2:$A$731)</f>
        <v/>
      </c>
      <c r="J668" s="6" t="inlineStr"/>
    </row>
    <row r="669">
      <c r="A669" s="2" t="n">
        <v>45959</v>
      </c>
      <c r="B669" s="3" t="n">
        <v>86.67</v>
      </c>
      <c r="C669" s="4">
        <f>B669/B$2*100</f>
        <v/>
      </c>
      <c r="D669" s="5">
        <f>AVERAGE(B640:B669)</f>
        <v/>
      </c>
      <c r="E669" s="5">
        <f>SLOPE(B$2:B$731,$A$2:$A$731)*$A669+INTERCEPT(B$2:B$731,$A$2:$A$731)</f>
        <v/>
      </c>
      <c r="F669" s="3" t="n">
        <v>0.79</v>
      </c>
      <c r="G669" s="4">
        <f>F669/F$2*100</f>
        <v/>
      </c>
      <c r="H669" s="5">
        <f>AVERAGE(F640:F669)</f>
        <v/>
      </c>
      <c r="I669" s="5">
        <f>SLOPE(F$2:F$731,$A$2:$A$731)*$A669+INTERCEPT(F$2:F$731,$A$2:$A$731)</f>
        <v/>
      </c>
      <c r="J669" s="6" t="inlineStr"/>
    </row>
    <row r="670">
      <c r="A670" s="2" t="n">
        <v>45960</v>
      </c>
      <c r="B670" s="3" t="n">
        <v>86.68000000000001</v>
      </c>
      <c r="C670" s="4">
        <f>B670/B$2*100</f>
        <v/>
      </c>
      <c r="D670" s="5">
        <f>AVERAGE(B641:B670)</f>
        <v/>
      </c>
      <c r="E670" s="5">
        <f>SLOPE(B$2:B$731,$A$2:$A$731)*$A670+INTERCEPT(B$2:B$731,$A$2:$A$731)</f>
        <v/>
      </c>
      <c r="F670" s="3" t="n">
        <v>0.79</v>
      </c>
      <c r="G670" s="4">
        <f>F670/F$2*100</f>
        <v/>
      </c>
      <c r="H670" s="5">
        <f>AVERAGE(F641:F670)</f>
        <v/>
      </c>
      <c r="I670" s="5">
        <f>SLOPE(F$2:F$731,$A$2:$A$731)*$A670+INTERCEPT(F$2:F$731,$A$2:$A$731)</f>
        <v/>
      </c>
      <c r="J670" s="6" t="inlineStr"/>
    </row>
    <row r="671">
      <c r="A671" s="2" t="n">
        <v>45961</v>
      </c>
      <c r="B671" s="3" t="n">
        <v>86.69</v>
      </c>
      <c r="C671" s="4">
        <f>B671/B$2*100</f>
        <v/>
      </c>
      <c r="D671" s="5">
        <f>AVERAGE(B642:B671)</f>
        <v/>
      </c>
      <c r="E671" s="5">
        <f>SLOPE(B$2:B$731,$A$2:$A$731)*$A671+INTERCEPT(B$2:B$731,$A$2:$A$731)</f>
        <v/>
      </c>
      <c r="F671" s="3" t="n">
        <v>0.79</v>
      </c>
      <c r="G671" s="4">
        <f>F671/F$2*100</f>
        <v/>
      </c>
      <c r="H671" s="5">
        <f>AVERAGE(F642:F671)</f>
        <v/>
      </c>
      <c r="I671" s="5">
        <f>SLOPE(F$2:F$731,$A$2:$A$731)*$A671+INTERCEPT(F$2:F$731,$A$2:$A$731)</f>
        <v/>
      </c>
      <c r="J671" s="6" t="inlineStr"/>
    </row>
    <row r="672">
      <c r="A672" s="2" t="n">
        <v>45962</v>
      </c>
      <c r="B672" s="3" t="n">
        <v>86.7</v>
      </c>
      <c r="C672" s="4">
        <f>B672/B$2*100</f>
        <v/>
      </c>
      <c r="D672" s="5">
        <f>AVERAGE(B643:B672)</f>
        <v/>
      </c>
      <c r="E672" s="5">
        <f>SLOPE(B$2:B$731,$A$2:$A$731)*$A672+INTERCEPT(B$2:B$731,$A$2:$A$731)</f>
        <v/>
      </c>
      <c r="F672" s="3" t="n">
        <v>0.79</v>
      </c>
      <c r="G672" s="4">
        <f>F672/F$2*100</f>
        <v/>
      </c>
      <c r="H672" s="5">
        <f>AVERAGE(F643:F672)</f>
        <v/>
      </c>
      <c r="I672" s="5">
        <f>SLOPE(F$2:F$731,$A$2:$A$731)*$A672+INTERCEPT(F$2:F$731,$A$2:$A$731)</f>
        <v/>
      </c>
      <c r="J672" s="6" t="inlineStr">
        <is>
          <t>yes</t>
        </is>
      </c>
    </row>
    <row r="673">
      <c r="A673" s="2" t="n">
        <v>45963</v>
      </c>
      <c r="B673" s="3" t="n">
        <v>86.70999999999999</v>
      </c>
      <c r="C673" s="4">
        <f>B673/B$2*100</f>
        <v/>
      </c>
      <c r="D673" s="5">
        <f>AVERAGE(B644:B673)</f>
        <v/>
      </c>
      <c r="E673" s="5">
        <f>SLOPE(B$2:B$731,$A$2:$A$731)*$A673+INTERCEPT(B$2:B$731,$A$2:$A$731)</f>
        <v/>
      </c>
      <c r="F673" s="3" t="n">
        <v>0.79</v>
      </c>
      <c r="G673" s="4">
        <f>F673/F$2*100</f>
        <v/>
      </c>
      <c r="H673" s="5">
        <f>AVERAGE(F644:F673)</f>
        <v/>
      </c>
      <c r="I673" s="5">
        <f>SLOPE(F$2:F$731,$A$2:$A$731)*$A673+INTERCEPT(F$2:F$731,$A$2:$A$731)</f>
        <v/>
      </c>
      <c r="J673" s="6" t="inlineStr">
        <is>
          <t>yes</t>
        </is>
      </c>
    </row>
    <row r="674">
      <c r="A674" s="2" t="n">
        <v>45964</v>
      </c>
      <c r="B674" s="3" t="n">
        <v>86.72</v>
      </c>
      <c r="C674" s="4">
        <f>B674/B$2*100</f>
        <v/>
      </c>
      <c r="D674" s="5">
        <f>AVERAGE(B645:B674)</f>
        <v/>
      </c>
      <c r="E674" s="5">
        <f>SLOPE(B$2:B$731,$A$2:$A$731)*$A674+INTERCEPT(B$2:B$731,$A$2:$A$731)</f>
        <v/>
      </c>
      <c r="F674" s="3" t="n">
        <v>0.79</v>
      </c>
      <c r="G674" s="4">
        <f>F674/F$2*100</f>
        <v/>
      </c>
      <c r="H674" s="5">
        <f>AVERAGE(F645:F674)</f>
        <v/>
      </c>
      <c r="I674" s="5">
        <f>SLOPE(F$2:F$731,$A$2:$A$731)*$A674+INTERCEPT(F$2:F$731,$A$2:$A$731)</f>
        <v/>
      </c>
      <c r="J674" s="6" t="inlineStr"/>
    </row>
    <row r="675">
      <c r="A675" s="2" t="n">
        <v>45965</v>
      </c>
      <c r="B675" s="3" t="n">
        <v>86.73</v>
      </c>
      <c r="C675" s="4">
        <f>B675/B$2*100</f>
        <v/>
      </c>
      <c r="D675" s="5">
        <f>AVERAGE(B646:B675)</f>
        <v/>
      </c>
      <c r="E675" s="5">
        <f>SLOPE(B$2:B$731,$A$2:$A$731)*$A675+INTERCEPT(B$2:B$731,$A$2:$A$731)</f>
        <v/>
      </c>
      <c r="F675" s="3" t="n">
        <v>0.79</v>
      </c>
      <c r="G675" s="4">
        <f>F675/F$2*100</f>
        <v/>
      </c>
      <c r="H675" s="5">
        <f>AVERAGE(F646:F675)</f>
        <v/>
      </c>
      <c r="I675" s="5">
        <f>SLOPE(F$2:F$731,$A$2:$A$731)*$A675+INTERCEPT(F$2:F$731,$A$2:$A$731)</f>
        <v/>
      </c>
      <c r="J675" s="6" t="inlineStr"/>
    </row>
    <row r="676">
      <c r="A676" s="2" t="n">
        <v>45966</v>
      </c>
      <c r="B676" s="3" t="n">
        <v>86.73999999999999</v>
      </c>
      <c r="C676" s="4">
        <f>B676/B$2*100</f>
        <v/>
      </c>
      <c r="D676" s="5">
        <f>AVERAGE(B647:B676)</f>
        <v/>
      </c>
      <c r="E676" s="5">
        <f>SLOPE(B$2:B$731,$A$2:$A$731)*$A676+INTERCEPT(B$2:B$731,$A$2:$A$731)</f>
        <v/>
      </c>
      <c r="F676" s="3" t="n">
        <v>0.79</v>
      </c>
      <c r="G676" s="4">
        <f>F676/F$2*100</f>
        <v/>
      </c>
      <c r="H676" s="5">
        <f>AVERAGE(F647:F676)</f>
        <v/>
      </c>
      <c r="I676" s="5">
        <f>SLOPE(F$2:F$731,$A$2:$A$731)*$A676+INTERCEPT(F$2:F$731,$A$2:$A$731)</f>
        <v/>
      </c>
      <c r="J676" s="6" t="inlineStr"/>
    </row>
    <row r="677">
      <c r="A677" s="2" t="n">
        <v>45967</v>
      </c>
      <c r="B677" s="3" t="n">
        <v>86.75</v>
      </c>
      <c r="C677" s="4">
        <f>B677/B$2*100</f>
        <v/>
      </c>
      <c r="D677" s="5">
        <f>AVERAGE(B648:B677)</f>
        <v/>
      </c>
      <c r="E677" s="5">
        <f>SLOPE(B$2:B$731,$A$2:$A$731)*$A677+INTERCEPT(B$2:B$731,$A$2:$A$731)</f>
        <v/>
      </c>
      <c r="F677" s="3" t="n">
        <v>0.79</v>
      </c>
      <c r="G677" s="4">
        <f>F677/F$2*100</f>
        <v/>
      </c>
      <c r="H677" s="5">
        <f>AVERAGE(F648:F677)</f>
        <v/>
      </c>
      <c r="I677" s="5">
        <f>SLOPE(F$2:F$731,$A$2:$A$731)*$A677+INTERCEPT(F$2:F$731,$A$2:$A$731)</f>
        <v/>
      </c>
      <c r="J677" s="6" t="inlineStr"/>
    </row>
    <row r="678">
      <c r="A678" s="2" t="n">
        <v>45968</v>
      </c>
      <c r="B678" s="3" t="n">
        <v>86.76000000000001</v>
      </c>
      <c r="C678" s="4">
        <f>B678/B$2*100</f>
        <v/>
      </c>
      <c r="D678" s="5">
        <f>AVERAGE(B649:B678)</f>
        <v/>
      </c>
      <c r="E678" s="5">
        <f>SLOPE(B$2:B$731,$A$2:$A$731)*$A678+INTERCEPT(B$2:B$731,$A$2:$A$731)</f>
        <v/>
      </c>
      <c r="F678" s="3" t="n">
        <v>0.79</v>
      </c>
      <c r="G678" s="4">
        <f>F678/F$2*100</f>
        <v/>
      </c>
      <c r="H678" s="5">
        <f>AVERAGE(F649:F678)</f>
        <v/>
      </c>
      <c r="I678" s="5">
        <f>SLOPE(F$2:F$731,$A$2:$A$731)*$A678+INTERCEPT(F$2:F$731,$A$2:$A$731)</f>
        <v/>
      </c>
      <c r="J678" s="6" t="inlineStr"/>
    </row>
    <row r="679">
      <c r="A679" s="2" t="n">
        <v>45969</v>
      </c>
      <c r="B679" s="3" t="n">
        <v>86.77</v>
      </c>
      <c r="C679" s="4">
        <f>B679/B$2*100</f>
        <v/>
      </c>
      <c r="D679" s="5">
        <f>AVERAGE(B650:B679)</f>
        <v/>
      </c>
      <c r="E679" s="5">
        <f>SLOPE(B$2:B$731,$A$2:$A$731)*$A679+INTERCEPT(B$2:B$731,$A$2:$A$731)</f>
        <v/>
      </c>
      <c r="F679" s="3" t="n">
        <v>0.79</v>
      </c>
      <c r="G679" s="4">
        <f>F679/F$2*100</f>
        <v/>
      </c>
      <c r="H679" s="5">
        <f>AVERAGE(F650:F679)</f>
        <v/>
      </c>
      <c r="I679" s="5">
        <f>SLOPE(F$2:F$731,$A$2:$A$731)*$A679+INTERCEPT(F$2:F$731,$A$2:$A$731)</f>
        <v/>
      </c>
      <c r="J679" s="6" t="inlineStr">
        <is>
          <t>yes</t>
        </is>
      </c>
    </row>
    <row r="680">
      <c r="A680" s="2" t="n">
        <v>45970</v>
      </c>
      <c r="B680" s="3" t="n">
        <v>86.78</v>
      </c>
      <c r="C680" s="4">
        <f>B680/B$2*100</f>
        <v/>
      </c>
      <c r="D680" s="5">
        <f>AVERAGE(B651:B680)</f>
        <v/>
      </c>
      <c r="E680" s="5">
        <f>SLOPE(B$2:B$731,$A$2:$A$731)*$A680+INTERCEPT(B$2:B$731,$A$2:$A$731)</f>
        <v/>
      </c>
      <c r="F680" s="3" t="n">
        <v>0.79</v>
      </c>
      <c r="G680" s="4">
        <f>F680/F$2*100</f>
        <v/>
      </c>
      <c r="H680" s="5">
        <f>AVERAGE(F651:F680)</f>
        <v/>
      </c>
      <c r="I680" s="5">
        <f>SLOPE(F$2:F$731,$A$2:$A$731)*$A680+INTERCEPT(F$2:F$731,$A$2:$A$731)</f>
        <v/>
      </c>
      <c r="J680" s="6" t="inlineStr">
        <is>
          <t>yes</t>
        </is>
      </c>
    </row>
    <row r="681">
      <c r="A681" s="2" t="n">
        <v>45971</v>
      </c>
      <c r="B681" s="3" t="n">
        <v>86.79000000000001</v>
      </c>
      <c r="C681" s="4">
        <f>B681/B$2*100</f>
        <v/>
      </c>
      <c r="D681" s="5">
        <f>AVERAGE(B652:B681)</f>
        <v/>
      </c>
      <c r="E681" s="5">
        <f>SLOPE(B$2:B$731,$A$2:$A$731)*$A681+INTERCEPT(B$2:B$731,$A$2:$A$731)</f>
        <v/>
      </c>
      <c r="F681" s="3" t="n">
        <v>0.79</v>
      </c>
      <c r="G681" s="4">
        <f>F681/F$2*100</f>
        <v/>
      </c>
      <c r="H681" s="5">
        <f>AVERAGE(F652:F681)</f>
        <v/>
      </c>
      <c r="I681" s="5">
        <f>SLOPE(F$2:F$731,$A$2:$A$731)*$A681+INTERCEPT(F$2:F$731,$A$2:$A$731)</f>
        <v/>
      </c>
      <c r="J681" s="6" t="inlineStr"/>
    </row>
    <row r="682">
      <c r="A682" s="2" t="n">
        <v>45972</v>
      </c>
      <c r="B682" s="3" t="n">
        <v>86.8</v>
      </c>
      <c r="C682" s="4">
        <f>B682/B$2*100</f>
        <v/>
      </c>
      <c r="D682" s="5">
        <f>AVERAGE(B653:B682)</f>
        <v/>
      </c>
      <c r="E682" s="5">
        <f>SLOPE(B$2:B$731,$A$2:$A$731)*$A682+INTERCEPT(B$2:B$731,$A$2:$A$731)</f>
        <v/>
      </c>
      <c r="F682" s="3" t="n">
        <v>0.79</v>
      </c>
      <c r="G682" s="4">
        <f>F682/F$2*100</f>
        <v/>
      </c>
      <c r="H682" s="5">
        <f>AVERAGE(F653:F682)</f>
        <v/>
      </c>
      <c r="I682" s="5">
        <f>SLOPE(F$2:F$731,$A$2:$A$731)*$A682+INTERCEPT(F$2:F$731,$A$2:$A$731)</f>
        <v/>
      </c>
      <c r="J682" s="6" t="inlineStr"/>
    </row>
    <row r="683">
      <c r="A683" s="2" t="n">
        <v>45973</v>
      </c>
      <c r="B683" s="3" t="n">
        <v>86.81</v>
      </c>
      <c r="C683" s="4">
        <f>B683/B$2*100</f>
        <v/>
      </c>
      <c r="D683" s="5">
        <f>AVERAGE(B654:B683)</f>
        <v/>
      </c>
      <c r="E683" s="5">
        <f>SLOPE(B$2:B$731,$A$2:$A$731)*$A683+INTERCEPT(B$2:B$731,$A$2:$A$731)</f>
        <v/>
      </c>
      <c r="F683" s="3" t="n">
        <v>0.79</v>
      </c>
      <c r="G683" s="4">
        <f>F683/F$2*100</f>
        <v/>
      </c>
      <c r="H683" s="5">
        <f>AVERAGE(F654:F683)</f>
        <v/>
      </c>
      <c r="I683" s="5">
        <f>SLOPE(F$2:F$731,$A$2:$A$731)*$A683+INTERCEPT(F$2:F$731,$A$2:$A$731)</f>
        <v/>
      </c>
      <c r="J683" s="6" t="inlineStr"/>
    </row>
    <row r="684">
      <c r="A684" s="2" t="n">
        <v>45974</v>
      </c>
      <c r="B684" s="3" t="n">
        <v>86.81999999999999</v>
      </c>
      <c r="C684" s="4">
        <f>B684/B$2*100</f>
        <v/>
      </c>
      <c r="D684" s="5">
        <f>AVERAGE(B655:B684)</f>
        <v/>
      </c>
      <c r="E684" s="5">
        <f>SLOPE(B$2:B$731,$A$2:$A$731)*$A684+INTERCEPT(B$2:B$731,$A$2:$A$731)</f>
        <v/>
      </c>
      <c r="F684" s="3" t="n">
        <v>0.79</v>
      </c>
      <c r="G684" s="4">
        <f>F684/F$2*100</f>
        <v/>
      </c>
      <c r="H684" s="5">
        <f>AVERAGE(F655:F684)</f>
        <v/>
      </c>
      <c r="I684" s="5">
        <f>SLOPE(F$2:F$731,$A$2:$A$731)*$A684+INTERCEPT(F$2:F$731,$A$2:$A$731)</f>
        <v/>
      </c>
      <c r="J684" s="6" t="inlineStr"/>
    </row>
    <row r="685">
      <c r="A685" s="2" t="n">
        <v>45975</v>
      </c>
      <c r="B685" s="3" t="n">
        <v>86.83</v>
      </c>
      <c r="C685" s="4">
        <f>B685/B$2*100</f>
        <v/>
      </c>
      <c r="D685" s="5">
        <f>AVERAGE(B656:B685)</f>
        <v/>
      </c>
      <c r="E685" s="5">
        <f>SLOPE(B$2:B$731,$A$2:$A$731)*$A685+INTERCEPT(B$2:B$731,$A$2:$A$731)</f>
        <v/>
      </c>
      <c r="F685" s="3" t="n">
        <v>0.79</v>
      </c>
      <c r="G685" s="4">
        <f>F685/F$2*100</f>
        <v/>
      </c>
      <c r="H685" s="5">
        <f>AVERAGE(F656:F685)</f>
        <v/>
      </c>
      <c r="I685" s="5">
        <f>SLOPE(F$2:F$731,$A$2:$A$731)*$A685+INTERCEPT(F$2:F$731,$A$2:$A$731)</f>
        <v/>
      </c>
      <c r="J685" s="6" t="inlineStr"/>
    </row>
    <row r="686">
      <c r="A686" s="2" t="n">
        <v>45976</v>
      </c>
      <c r="B686" s="3" t="n">
        <v>86.84</v>
      </c>
      <c r="C686" s="4">
        <f>B686/B$2*100</f>
        <v/>
      </c>
      <c r="D686" s="5">
        <f>AVERAGE(B657:B686)</f>
        <v/>
      </c>
      <c r="E686" s="5">
        <f>SLOPE(B$2:B$731,$A$2:$A$731)*$A686+INTERCEPT(B$2:B$731,$A$2:$A$731)</f>
        <v/>
      </c>
      <c r="F686" s="3" t="n">
        <v>0.79</v>
      </c>
      <c r="G686" s="4">
        <f>F686/F$2*100</f>
        <v/>
      </c>
      <c r="H686" s="5">
        <f>AVERAGE(F657:F686)</f>
        <v/>
      </c>
      <c r="I686" s="5">
        <f>SLOPE(F$2:F$731,$A$2:$A$731)*$A686+INTERCEPT(F$2:F$731,$A$2:$A$731)</f>
        <v/>
      </c>
      <c r="J686" s="6" t="inlineStr">
        <is>
          <t>yes</t>
        </is>
      </c>
    </row>
    <row r="687">
      <c r="A687" s="2" t="n">
        <v>45977</v>
      </c>
      <c r="B687" s="3" t="n">
        <v>86.84999999999999</v>
      </c>
      <c r="C687" s="4">
        <f>B687/B$2*100</f>
        <v/>
      </c>
      <c r="D687" s="5">
        <f>AVERAGE(B658:B687)</f>
        <v/>
      </c>
      <c r="E687" s="5">
        <f>SLOPE(B$2:B$731,$A$2:$A$731)*$A687+INTERCEPT(B$2:B$731,$A$2:$A$731)</f>
        <v/>
      </c>
      <c r="F687" s="3" t="n">
        <v>0.79</v>
      </c>
      <c r="G687" s="4">
        <f>F687/F$2*100</f>
        <v/>
      </c>
      <c r="H687" s="5">
        <f>AVERAGE(F658:F687)</f>
        <v/>
      </c>
      <c r="I687" s="5">
        <f>SLOPE(F$2:F$731,$A$2:$A$731)*$A687+INTERCEPT(F$2:F$731,$A$2:$A$731)</f>
        <v/>
      </c>
      <c r="J687" s="6" t="inlineStr">
        <is>
          <t>yes</t>
        </is>
      </c>
    </row>
    <row r="688">
      <c r="A688" s="2" t="n">
        <v>45978</v>
      </c>
      <c r="B688" s="3" t="n">
        <v>86.86</v>
      </c>
      <c r="C688" s="4">
        <f>B688/B$2*100</f>
        <v/>
      </c>
      <c r="D688" s="5">
        <f>AVERAGE(B659:B688)</f>
        <v/>
      </c>
      <c r="E688" s="5">
        <f>SLOPE(B$2:B$731,$A$2:$A$731)*$A688+INTERCEPT(B$2:B$731,$A$2:$A$731)</f>
        <v/>
      </c>
      <c r="F688" s="3" t="n">
        <v>0.79</v>
      </c>
      <c r="G688" s="4">
        <f>F688/F$2*100</f>
        <v/>
      </c>
      <c r="H688" s="5">
        <f>AVERAGE(F659:F688)</f>
        <v/>
      </c>
      <c r="I688" s="5">
        <f>SLOPE(F$2:F$731,$A$2:$A$731)*$A688+INTERCEPT(F$2:F$731,$A$2:$A$731)</f>
        <v/>
      </c>
      <c r="J688" s="6" t="inlineStr"/>
    </row>
    <row r="689">
      <c r="A689" s="2" t="n">
        <v>45979</v>
      </c>
      <c r="B689" s="3" t="n">
        <v>86.87</v>
      </c>
      <c r="C689" s="4">
        <f>B689/B$2*100</f>
        <v/>
      </c>
      <c r="D689" s="5">
        <f>AVERAGE(B660:B689)</f>
        <v/>
      </c>
      <c r="E689" s="5">
        <f>SLOPE(B$2:B$731,$A$2:$A$731)*$A689+INTERCEPT(B$2:B$731,$A$2:$A$731)</f>
        <v/>
      </c>
      <c r="F689" s="3" t="n">
        <v>0.79</v>
      </c>
      <c r="G689" s="4">
        <f>F689/F$2*100</f>
        <v/>
      </c>
      <c r="H689" s="5">
        <f>AVERAGE(F660:F689)</f>
        <v/>
      </c>
      <c r="I689" s="5">
        <f>SLOPE(F$2:F$731,$A$2:$A$731)*$A689+INTERCEPT(F$2:F$731,$A$2:$A$731)</f>
        <v/>
      </c>
      <c r="J689" s="6" t="inlineStr"/>
    </row>
    <row r="690">
      <c r="A690" s="2" t="n">
        <v>45980</v>
      </c>
      <c r="B690" s="3" t="n">
        <v>86.88</v>
      </c>
      <c r="C690" s="4">
        <f>B690/B$2*100</f>
        <v/>
      </c>
      <c r="D690" s="5">
        <f>AVERAGE(B661:B690)</f>
        <v/>
      </c>
      <c r="E690" s="5">
        <f>SLOPE(B$2:B$731,$A$2:$A$731)*$A690+INTERCEPT(B$2:B$731,$A$2:$A$731)</f>
        <v/>
      </c>
      <c r="F690" s="3" t="n">
        <v>0.79</v>
      </c>
      <c r="G690" s="4">
        <f>F690/F$2*100</f>
        <v/>
      </c>
      <c r="H690" s="5">
        <f>AVERAGE(F661:F690)</f>
        <v/>
      </c>
      <c r="I690" s="5">
        <f>SLOPE(F$2:F$731,$A$2:$A$731)*$A690+INTERCEPT(F$2:F$731,$A$2:$A$731)</f>
        <v/>
      </c>
      <c r="J690" s="6" t="inlineStr"/>
    </row>
    <row r="691">
      <c r="A691" s="2" t="n">
        <v>45981</v>
      </c>
      <c r="B691" s="3" t="n">
        <v>86.89</v>
      </c>
      <c r="C691" s="4">
        <f>B691/B$2*100</f>
        <v/>
      </c>
      <c r="D691" s="5">
        <f>AVERAGE(B662:B691)</f>
        <v/>
      </c>
      <c r="E691" s="5">
        <f>SLOPE(B$2:B$731,$A$2:$A$731)*$A691+INTERCEPT(B$2:B$731,$A$2:$A$731)</f>
        <v/>
      </c>
      <c r="F691" s="3" t="n">
        <v>0.79</v>
      </c>
      <c r="G691" s="4">
        <f>F691/F$2*100</f>
        <v/>
      </c>
      <c r="H691" s="5">
        <f>AVERAGE(F662:F691)</f>
        <v/>
      </c>
      <c r="I691" s="5">
        <f>SLOPE(F$2:F$731,$A$2:$A$731)*$A691+INTERCEPT(F$2:F$731,$A$2:$A$731)</f>
        <v/>
      </c>
      <c r="J691" s="6" t="inlineStr"/>
    </row>
    <row r="692">
      <c r="A692" s="2" t="n">
        <v>45982</v>
      </c>
      <c r="B692" s="3" t="n">
        <v>86.90000000000001</v>
      </c>
      <c r="C692" s="4">
        <f>B692/B$2*100</f>
        <v/>
      </c>
      <c r="D692" s="5">
        <f>AVERAGE(B663:B692)</f>
        <v/>
      </c>
      <c r="E692" s="5">
        <f>SLOPE(B$2:B$731,$A$2:$A$731)*$A692+INTERCEPT(B$2:B$731,$A$2:$A$731)</f>
        <v/>
      </c>
      <c r="F692" s="3" t="n">
        <v>0.79</v>
      </c>
      <c r="G692" s="4">
        <f>F692/F$2*100</f>
        <v/>
      </c>
      <c r="H692" s="5">
        <f>AVERAGE(F663:F692)</f>
        <v/>
      </c>
      <c r="I692" s="5">
        <f>SLOPE(F$2:F$731,$A$2:$A$731)*$A692+INTERCEPT(F$2:F$731,$A$2:$A$731)</f>
        <v/>
      </c>
      <c r="J692" s="6" t="inlineStr"/>
    </row>
    <row r="693">
      <c r="A693" s="2" t="n">
        <v>45983</v>
      </c>
      <c r="B693" s="3" t="n">
        <v>86.91</v>
      </c>
      <c r="C693" s="4">
        <f>B693/B$2*100</f>
        <v/>
      </c>
      <c r="D693" s="5">
        <f>AVERAGE(B664:B693)</f>
        <v/>
      </c>
      <c r="E693" s="5">
        <f>SLOPE(B$2:B$731,$A$2:$A$731)*$A693+INTERCEPT(B$2:B$731,$A$2:$A$731)</f>
        <v/>
      </c>
      <c r="F693" s="3" t="n">
        <v>0.79</v>
      </c>
      <c r="G693" s="4">
        <f>F693/F$2*100</f>
        <v/>
      </c>
      <c r="H693" s="5">
        <f>AVERAGE(F664:F693)</f>
        <v/>
      </c>
      <c r="I693" s="5">
        <f>SLOPE(F$2:F$731,$A$2:$A$731)*$A693+INTERCEPT(F$2:F$731,$A$2:$A$731)</f>
        <v/>
      </c>
      <c r="J693" s="6" t="inlineStr">
        <is>
          <t>yes</t>
        </is>
      </c>
    </row>
    <row r="694">
      <c r="A694" s="2" t="n">
        <v>45984</v>
      </c>
      <c r="B694" s="3" t="n">
        <v>86.92</v>
      </c>
      <c r="C694" s="4">
        <f>B694/B$2*100</f>
        <v/>
      </c>
      <c r="D694" s="5">
        <f>AVERAGE(B665:B694)</f>
        <v/>
      </c>
      <c r="E694" s="5">
        <f>SLOPE(B$2:B$731,$A$2:$A$731)*$A694+INTERCEPT(B$2:B$731,$A$2:$A$731)</f>
        <v/>
      </c>
      <c r="F694" s="3" t="n">
        <v>0.79</v>
      </c>
      <c r="G694" s="4">
        <f>F694/F$2*100</f>
        <v/>
      </c>
      <c r="H694" s="5">
        <f>AVERAGE(F665:F694)</f>
        <v/>
      </c>
      <c r="I694" s="5">
        <f>SLOPE(F$2:F$731,$A$2:$A$731)*$A694+INTERCEPT(F$2:F$731,$A$2:$A$731)</f>
        <v/>
      </c>
      <c r="J694" s="6" t="inlineStr">
        <is>
          <t>yes</t>
        </is>
      </c>
    </row>
    <row r="695">
      <c r="A695" s="2" t="n">
        <v>45985</v>
      </c>
      <c r="B695" s="3" t="n">
        <v>86.93000000000001</v>
      </c>
      <c r="C695" s="4">
        <f>B695/B$2*100</f>
        <v/>
      </c>
      <c r="D695" s="5">
        <f>AVERAGE(B666:B695)</f>
        <v/>
      </c>
      <c r="E695" s="5">
        <f>SLOPE(B$2:B$731,$A$2:$A$731)*$A695+INTERCEPT(B$2:B$731,$A$2:$A$731)</f>
        <v/>
      </c>
      <c r="F695" s="3" t="n">
        <v>0.79</v>
      </c>
      <c r="G695" s="4">
        <f>F695/F$2*100</f>
        <v/>
      </c>
      <c r="H695" s="5">
        <f>AVERAGE(F666:F695)</f>
        <v/>
      </c>
      <c r="I695" s="5">
        <f>SLOPE(F$2:F$731,$A$2:$A$731)*$A695+INTERCEPT(F$2:F$731,$A$2:$A$731)</f>
        <v/>
      </c>
      <c r="J695" s="6" t="inlineStr"/>
    </row>
    <row r="696">
      <c r="A696" s="2" t="n">
        <v>45986</v>
      </c>
      <c r="B696" s="3" t="n">
        <v>86.94</v>
      </c>
      <c r="C696" s="4">
        <f>B696/B$2*100</f>
        <v/>
      </c>
      <c r="D696" s="5">
        <f>AVERAGE(B667:B696)</f>
        <v/>
      </c>
      <c r="E696" s="5">
        <f>SLOPE(B$2:B$731,$A$2:$A$731)*$A696+INTERCEPT(B$2:B$731,$A$2:$A$731)</f>
        <v/>
      </c>
      <c r="F696" s="3" t="n">
        <v>0.79</v>
      </c>
      <c r="G696" s="4">
        <f>F696/F$2*100</f>
        <v/>
      </c>
      <c r="H696" s="5">
        <f>AVERAGE(F667:F696)</f>
        <v/>
      </c>
      <c r="I696" s="5">
        <f>SLOPE(F$2:F$731,$A$2:$A$731)*$A696+INTERCEPT(F$2:F$731,$A$2:$A$731)</f>
        <v/>
      </c>
      <c r="J696" s="6" t="inlineStr"/>
    </row>
    <row r="697">
      <c r="A697" s="2" t="n">
        <v>45987</v>
      </c>
      <c r="B697" s="3" t="n">
        <v>86.95</v>
      </c>
      <c r="C697" s="4">
        <f>B697/B$2*100</f>
        <v/>
      </c>
      <c r="D697" s="5">
        <f>AVERAGE(B668:B697)</f>
        <v/>
      </c>
      <c r="E697" s="5">
        <f>SLOPE(B$2:B$731,$A$2:$A$731)*$A697+INTERCEPT(B$2:B$731,$A$2:$A$731)</f>
        <v/>
      </c>
      <c r="F697" s="3" t="n">
        <v>0.79</v>
      </c>
      <c r="G697" s="4">
        <f>F697/F$2*100</f>
        <v/>
      </c>
      <c r="H697" s="5">
        <f>AVERAGE(F668:F697)</f>
        <v/>
      </c>
      <c r="I697" s="5">
        <f>SLOPE(F$2:F$731,$A$2:$A$731)*$A697+INTERCEPT(F$2:F$731,$A$2:$A$731)</f>
        <v/>
      </c>
      <c r="J697" s="6" t="inlineStr"/>
    </row>
    <row r="698">
      <c r="A698" s="2" t="n">
        <v>45988</v>
      </c>
      <c r="B698" s="3" t="n">
        <v>86.95999999999999</v>
      </c>
      <c r="C698" s="4">
        <f>B698/B$2*100</f>
        <v/>
      </c>
      <c r="D698" s="5">
        <f>AVERAGE(B669:B698)</f>
        <v/>
      </c>
      <c r="E698" s="5">
        <f>SLOPE(B$2:B$731,$A$2:$A$731)*$A698+INTERCEPT(B$2:B$731,$A$2:$A$731)</f>
        <v/>
      </c>
      <c r="F698" s="3" t="n">
        <v>0.79</v>
      </c>
      <c r="G698" s="4">
        <f>F698/F$2*100</f>
        <v/>
      </c>
      <c r="H698" s="5">
        <f>AVERAGE(F669:F698)</f>
        <v/>
      </c>
      <c r="I698" s="5">
        <f>SLOPE(F$2:F$731,$A$2:$A$731)*$A698+INTERCEPT(F$2:F$731,$A$2:$A$731)</f>
        <v/>
      </c>
      <c r="J698" s="6" t="inlineStr"/>
    </row>
    <row r="699">
      <c r="A699" s="2" t="n">
        <v>45989</v>
      </c>
      <c r="B699" s="3" t="n">
        <v>86.97</v>
      </c>
      <c r="C699" s="4">
        <f>B699/B$2*100</f>
        <v/>
      </c>
      <c r="D699" s="5">
        <f>AVERAGE(B670:B699)</f>
        <v/>
      </c>
      <c r="E699" s="5">
        <f>SLOPE(B$2:B$731,$A$2:$A$731)*$A699+INTERCEPT(B$2:B$731,$A$2:$A$731)</f>
        <v/>
      </c>
      <c r="F699" s="3" t="n">
        <v>0.79</v>
      </c>
      <c r="G699" s="4">
        <f>F699/F$2*100</f>
        <v/>
      </c>
      <c r="H699" s="5">
        <f>AVERAGE(F670:F699)</f>
        <v/>
      </c>
      <c r="I699" s="5">
        <f>SLOPE(F$2:F$731,$A$2:$A$731)*$A699+INTERCEPT(F$2:F$731,$A$2:$A$731)</f>
        <v/>
      </c>
      <c r="J699" s="6" t="inlineStr"/>
    </row>
    <row r="700">
      <c r="A700" s="2" t="n">
        <v>45990</v>
      </c>
      <c r="B700" s="3" t="n">
        <v>86.98</v>
      </c>
      <c r="C700" s="4">
        <f>B700/B$2*100</f>
        <v/>
      </c>
      <c r="D700" s="5">
        <f>AVERAGE(B671:B700)</f>
        <v/>
      </c>
      <c r="E700" s="5">
        <f>SLOPE(B$2:B$731,$A$2:$A$731)*$A700+INTERCEPT(B$2:B$731,$A$2:$A$731)</f>
        <v/>
      </c>
      <c r="F700" s="3" t="n">
        <v>0.79</v>
      </c>
      <c r="G700" s="4">
        <f>F700/F$2*100</f>
        <v/>
      </c>
      <c r="H700" s="5">
        <f>AVERAGE(F671:F700)</f>
        <v/>
      </c>
      <c r="I700" s="5">
        <f>SLOPE(F$2:F$731,$A$2:$A$731)*$A700+INTERCEPT(F$2:F$731,$A$2:$A$731)</f>
        <v/>
      </c>
      <c r="J700" s="6" t="inlineStr">
        <is>
          <t>yes</t>
        </is>
      </c>
    </row>
    <row r="701">
      <c r="A701" s="2" t="n">
        <v>45991</v>
      </c>
      <c r="B701" s="3" t="n">
        <v>86.98999999999999</v>
      </c>
      <c r="C701" s="4">
        <f>B701/B$2*100</f>
        <v/>
      </c>
      <c r="D701" s="5">
        <f>AVERAGE(B672:B701)</f>
        <v/>
      </c>
      <c r="E701" s="5">
        <f>SLOPE(B$2:B$731,$A$2:$A$731)*$A701+INTERCEPT(B$2:B$731,$A$2:$A$731)</f>
        <v/>
      </c>
      <c r="F701" s="3" t="n">
        <v>0.79</v>
      </c>
      <c r="G701" s="4">
        <f>F701/F$2*100</f>
        <v/>
      </c>
      <c r="H701" s="5">
        <f>AVERAGE(F672:F701)</f>
        <v/>
      </c>
      <c r="I701" s="5">
        <f>SLOPE(F$2:F$731,$A$2:$A$731)*$A701+INTERCEPT(F$2:F$731,$A$2:$A$731)</f>
        <v/>
      </c>
      <c r="J701" s="6" t="inlineStr">
        <is>
          <t>yes</t>
        </is>
      </c>
    </row>
    <row r="702">
      <c r="A702" s="2" t="n">
        <v>45992</v>
      </c>
      <c r="B702" s="3" t="n">
        <v>87</v>
      </c>
      <c r="C702" s="4">
        <f>B702/B$2*100</f>
        <v/>
      </c>
      <c r="D702" s="5">
        <f>AVERAGE(B673:B702)</f>
        <v/>
      </c>
      <c r="E702" s="5">
        <f>SLOPE(B$2:B$731,$A$2:$A$731)*$A702+INTERCEPT(B$2:B$731,$A$2:$A$731)</f>
        <v/>
      </c>
      <c r="F702" s="3" t="n">
        <v>0.79</v>
      </c>
      <c r="G702" s="4">
        <f>F702/F$2*100</f>
        <v/>
      </c>
      <c r="H702" s="5">
        <f>AVERAGE(F673:F702)</f>
        <v/>
      </c>
      <c r="I702" s="5">
        <f>SLOPE(F$2:F$731,$A$2:$A$731)*$A702+INTERCEPT(F$2:F$731,$A$2:$A$731)</f>
        <v/>
      </c>
      <c r="J702" s="6" t="inlineStr"/>
    </row>
    <row r="703">
      <c r="A703" s="2" t="n">
        <v>45993</v>
      </c>
      <c r="B703" s="3" t="n">
        <v>87.01000000000001</v>
      </c>
      <c r="C703" s="4">
        <f>B703/B$2*100</f>
        <v/>
      </c>
      <c r="D703" s="5">
        <f>AVERAGE(B674:B703)</f>
        <v/>
      </c>
      <c r="E703" s="5">
        <f>SLOPE(B$2:B$731,$A$2:$A$731)*$A703+INTERCEPT(B$2:B$731,$A$2:$A$731)</f>
        <v/>
      </c>
      <c r="F703" s="3" t="n">
        <v>0.79</v>
      </c>
      <c r="G703" s="4">
        <f>F703/F$2*100</f>
        <v/>
      </c>
      <c r="H703" s="5">
        <f>AVERAGE(F674:F703)</f>
        <v/>
      </c>
      <c r="I703" s="5">
        <f>SLOPE(F$2:F$731,$A$2:$A$731)*$A703+INTERCEPT(F$2:F$731,$A$2:$A$731)</f>
        <v/>
      </c>
      <c r="J703" s="6" t="inlineStr"/>
    </row>
    <row r="704">
      <c r="A704" s="2" t="n">
        <v>45994</v>
      </c>
      <c r="B704" s="3" t="n">
        <v>87.02</v>
      </c>
      <c r="C704" s="4">
        <f>B704/B$2*100</f>
        <v/>
      </c>
      <c r="D704" s="5">
        <f>AVERAGE(B675:B704)</f>
        <v/>
      </c>
      <c r="E704" s="5">
        <f>SLOPE(B$2:B$731,$A$2:$A$731)*$A704+INTERCEPT(B$2:B$731,$A$2:$A$731)</f>
        <v/>
      </c>
      <c r="F704" s="3" t="n">
        <v>0.79</v>
      </c>
      <c r="G704" s="4">
        <f>F704/F$2*100</f>
        <v/>
      </c>
      <c r="H704" s="5">
        <f>AVERAGE(F675:F704)</f>
        <v/>
      </c>
      <c r="I704" s="5">
        <f>SLOPE(F$2:F$731,$A$2:$A$731)*$A704+INTERCEPT(F$2:F$731,$A$2:$A$731)</f>
        <v/>
      </c>
      <c r="J704" s="6" t="inlineStr"/>
    </row>
    <row r="705">
      <c r="A705" s="2" t="n">
        <v>45995</v>
      </c>
      <c r="B705" s="3" t="n">
        <v>87.03</v>
      </c>
      <c r="C705" s="4">
        <f>B705/B$2*100</f>
        <v/>
      </c>
      <c r="D705" s="5">
        <f>AVERAGE(B676:B705)</f>
        <v/>
      </c>
      <c r="E705" s="5">
        <f>SLOPE(B$2:B$731,$A$2:$A$731)*$A705+INTERCEPT(B$2:B$731,$A$2:$A$731)</f>
        <v/>
      </c>
      <c r="F705" s="3" t="n">
        <v>0.79</v>
      </c>
      <c r="G705" s="4">
        <f>F705/F$2*100</f>
        <v/>
      </c>
      <c r="H705" s="5">
        <f>AVERAGE(F676:F705)</f>
        <v/>
      </c>
      <c r="I705" s="5">
        <f>SLOPE(F$2:F$731,$A$2:$A$731)*$A705+INTERCEPT(F$2:F$731,$A$2:$A$731)</f>
        <v/>
      </c>
      <c r="J705" s="6" t="inlineStr"/>
    </row>
    <row r="706">
      <c r="A706" s="2" t="n">
        <v>45996</v>
      </c>
      <c r="B706" s="3" t="n">
        <v>87.04000000000001</v>
      </c>
      <c r="C706" s="4">
        <f>B706/B$2*100</f>
        <v/>
      </c>
      <c r="D706" s="5">
        <f>AVERAGE(B677:B706)</f>
        <v/>
      </c>
      <c r="E706" s="5">
        <f>SLOPE(B$2:B$731,$A$2:$A$731)*$A706+INTERCEPT(B$2:B$731,$A$2:$A$731)</f>
        <v/>
      </c>
      <c r="F706" s="3" t="n">
        <v>0.79</v>
      </c>
      <c r="G706" s="4">
        <f>F706/F$2*100</f>
        <v/>
      </c>
      <c r="H706" s="5">
        <f>AVERAGE(F677:F706)</f>
        <v/>
      </c>
      <c r="I706" s="5">
        <f>SLOPE(F$2:F$731,$A$2:$A$731)*$A706+INTERCEPT(F$2:F$731,$A$2:$A$731)</f>
        <v/>
      </c>
      <c r="J706" s="6" t="inlineStr"/>
    </row>
    <row r="707">
      <c r="A707" s="2" t="n">
        <v>45997</v>
      </c>
      <c r="B707" s="3" t="n">
        <v>87.05</v>
      </c>
      <c r="C707" s="4">
        <f>B707/B$2*100</f>
        <v/>
      </c>
      <c r="D707" s="5">
        <f>AVERAGE(B678:B707)</f>
        <v/>
      </c>
      <c r="E707" s="5">
        <f>SLOPE(B$2:B$731,$A$2:$A$731)*$A707+INTERCEPT(B$2:B$731,$A$2:$A$731)</f>
        <v/>
      </c>
      <c r="F707" s="3" t="n">
        <v>0.79</v>
      </c>
      <c r="G707" s="4">
        <f>F707/F$2*100</f>
        <v/>
      </c>
      <c r="H707" s="5">
        <f>AVERAGE(F678:F707)</f>
        <v/>
      </c>
      <c r="I707" s="5">
        <f>SLOPE(F$2:F$731,$A$2:$A$731)*$A707+INTERCEPT(F$2:F$731,$A$2:$A$731)</f>
        <v/>
      </c>
      <c r="J707" s="6" t="inlineStr">
        <is>
          <t>yes</t>
        </is>
      </c>
    </row>
    <row r="708">
      <c r="A708" s="2" t="n">
        <v>45998</v>
      </c>
      <c r="B708" s="3" t="n">
        <v>87.06</v>
      </c>
      <c r="C708" s="4">
        <f>B708/B$2*100</f>
        <v/>
      </c>
      <c r="D708" s="5">
        <f>AVERAGE(B679:B708)</f>
        <v/>
      </c>
      <c r="E708" s="5">
        <f>SLOPE(B$2:B$731,$A$2:$A$731)*$A708+INTERCEPT(B$2:B$731,$A$2:$A$731)</f>
        <v/>
      </c>
      <c r="F708" s="3" t="n">
        <v>0.79</v>
      </c>
      <c r="G708" s="4">
        <f>F708/F$2*100</f>
        <v/>
      </c>
      <c r="H708" s="5">
        <f>AVERAGE(F679:F708)</f>
        <v/>
      </c>
      <c r="I708" s="5">
        <f>SLOPE(F$2:F$731,$A$2:$A$731)*$A708+INTERCEPT(F$2:F$731,$A$2:$A$731)</f>
        <v/>
      </c>
      <c r="J708" s="6" t="inlineStr">
        <is>
          <t>yes</t>
        </is>
      </c>
    </row>
    <row r="709">
      <c r="A709" s="2" t="n">
        <v>45999</v>
      </c>
      <c r="B709" s="3" t="n">
        <v>87.06999999999999</v>
      </c>
      <c r="C709" s="4">
        <f>B709/B$2*100</f>
        <v/>
      </c>
      <c r="D709" s="5">
        <f>AVERAGE(B680:B709)</f>
        <v/>
      </c>
      <c r="E709" s="5">
        <f>SLOPE(B$2:B$731,$A$2:$A$731)*$A709+INTERCEPT(B$2:B$731,$A$2:$A$731)</f>
        <v/>
      </c>
      <c r="F709" s="3" t="n">
        <v>0.79</v>
      </c>
      <c r="G709" s="4">
        <f>F709/F$2*100</f>
        <v/>
      </c>
      <c r="H709" s="5">
        <f>AVERAGE(F680:F709)</f>
        <v/>
      </c>
      <c r="I709" s="5">
        <f>SLOPE(F$2:F$731,$A$2:$A$731)*$A709+INTERCEPT(F$2:F$731,$A$2:$A$731)</f>
        <v/>
      </c>
      <c r="J709" s="6" t="inlineStr"/>
    </row>
    <row r="710">
      <c r="A710" s="2" t="n">
        <v>46000</v>
      </c>
      <c r="B710" s="3" t="n">
        <v>87.08</v>
      </c>
      <c r="C710" s="4">
        <f>B710/B$2*100</f>
        <v/>
      </c>
      <c r="D710" s="5">
        <f>AVERAGE(B681:B710)</f>
        <v/>
      </c>
      <c r="E710" s="5">
        <f>SLOPE(B$2:B$731,$A$2:$A$731)*$A710+INTERCEPT(B$2:B$731,$A$2:$A$731)</f>
        <v/>
      </c>
      <c r="F710" s="3" t="n">
        <v>0.79</v>
      </c>
      <c r="G710" s="4">
        <f>F710/F$2*100</f>
        <v/>
      </c>
      <c r="H710" s="5">
        <f>AVERAGE(F681:F710)</f>
        <v/>
      </c>
      <c r="I710" s="5">
        <f>SLOPE(F$2:F$731,$A$2:$A$731)*$A710+INTERCEPT(F$2:F$731,$A$2:$A$731)</f>
        <v/>
      </c>
      <c r="J710" s="6" t="inlineStr"/>
    </row>
    <row r="711">
      <c r="A711" s="2" t="n">
        <v>46001</v>
      </c>
      <c r="B711" s="3" t="n">
        <v>87.09</v>
      </c>
      <c r="C711" s="4">
        <f>B711/B$2*100</f>
        <v/>
      </c>
      <c r="D711" s="5">
        <f>AVERAGE(B682:B711)</f>
        <v/>
      </c>
      <c r="E711" s="5">
        <f>SLOPE(B$2:B$731,$A$2:$A$731)*$A711+INTERCEPT(B$2:B$731,$A$2:$A$731)</f>
        <v/>
      </c>
      <c r="F711" s="3" t="n">
        <v>0.79</v>
      </c>
      <c r="G711" s="4">
        <f>F711/F$2*100</f>
        <v/>
      </c>
      <c r="H711" s="5">
        <f>AVERAGE(F682:F711)</f>
        <v/>
      </c>
      <c r="I711" s="5">
        <f>SLOPE(F$2:F$731,$A$2:$A$731)*$A711+INTERCEPT(F$2:F$731,$A$2:$A$731)</f>
        <v/>
      </c>
      <c r="J711" s="6" t="inlineStr"/>
    </row>
    <row r="712">
      <c r="A712" s="2" t="n">
        <v>46002</v>
      </c>
      <c r="B712" s="3" t="n">
        <v>87.09999999999999</v>
      </c>
      <c r="C712" s="4">
        <f>B712/B$2*100</f>
        <v/>
      </c>
      <c r="D712" s="5">
        <f>AVERAGE(B683:B712)</f>
        <v/>
      </c>
      <c r="E712" s="5">
        <f>SLOPE(B$2:B$731,$A$2:$A$731)*$A712+INTERCEPT(B$2:B$731,$A$2:$A$731)</f>
        <v/>
      </c>
      <c r="F712" s="3" t="n">
        <v>0.79</v>
      </c>
      <c r="G712" s="4">
        <f>F712/F$2*100</f>
        <v/>
      </c>
      <c r="H712" s="5">
        <f>AVERAGE(F683:F712)</f>
        <v/>
      </c>
      <c r="I712" s="5">
        <f>SLOPE(F$2:F$731,$A$2:$A$731)*$A712+INTERCEPT(F$2:F$731,$A$2:$A$731)</f>
        <v/>
      </c>
      <c r="J712" s="6" t="inlineStr"/>
    </row>
    <row r="713">
      <c r="A713" s="2" t="n">
        <v>46003</v>
      </c>
      <c r="B713" s="3" t="n">
        <v>87.11</v>
      </c>
      <c r="C713" s="4">
        <f>B713/B$2*100</f>
        <v/>
      </c>
      <c r="D713" s="5">
        <f>AVERAGE(B684:B713)</f>
        <v/>
      </c>
      <c r="E713" s="5">
        <f>SLOPE(B$2:B$731,$A$2:$A$731)*$A713+INTERCEPT(B$2:B$731,$A$2:$A$731)</f>
        <v/>
      </c>
      <c r="F713" s="3" t="n">
        <v>0.79</v>
      </c>
      <c r="G713" s="4">
        <f>F713/F$2*100</f>
        <v/>
      </c>
      <c r="H713" s="5">
        <f>AVERAGE(F684:F713)</f>
        <v/>
      </c>
      <c r="I713" s="5">
        <f>SLOPE(F$2:F$731,$A$2:$A$731)*$A713+INTERCEPT(F$2:F$731,$A$2:$A$731)</f>
        <v/>
      </c>
      <c r="J713" s="6" t="inlineStr"/>
    </row>
    <row r="714">
      <c r="A714" s="2" t="n">
        <v>46004</v>
      </c>
      <c r="B714" s="3" t="n">
        <v>87.12</v>
      </c>
      <c r="C714" s="4">
        <f>B714/B$2*100</f>
        <v/>
      </c>
      <c r="D714" s="5">
        <f>AVERAGE(B685:B714)</f>
        <v/>
      </c>
      <c r="E714" s="5">
        <f>SLOPE(B$2:B$731,$A$2:$A$731)*$A714+INTERCEPT(B$2:B$731,$A$2:$A$731)</f>
        <v/>
      </c>
      <c r="F714" s="3" t="n">
        <v>0.79</v>
      </c>
      <c r="G714" s="4">
        <f>F714/F$2*100</f>
        <v/>
      </c>
      <c r="H714" s="5">
        <f>AVERAGE(F685:F714)</f>
        <v/>
      </c>
      <c r="I714" s="5">
        <f>SLOPE(F$2:F$731,$A$2:$A$731)*$A714+INTERCEPT(F$2:F$731,$A$2:$A$731)</f>
        <v/>
      </c>
      <c r="J714" s="6" t="inlineStr">
        <is>
          <t>yes</t>
        </is>
      </c>
    </row>
    <row r="715">
      <c r="A715" s="2" t="n">
        <v>46005</v>
      </c>
      <c r="B715" s="3" t="n">
        <v>87.13</v>
      </c>
      <c r="C715" s="4">
        <f>B715/B$2*100</f>
        <v/>
      </c>
      <c r="D715" s="5">
        <f>AVERAGE(B686:B715)</f>
        <v/>
      </c>
      <c r="E715" s="5">
        <f>SLOPE(B$2:B$731,$A$2:$A$731)*$A715+INTERCEPT(B$2:B$731,$A$2:$A$731)</f>
        <v/>
      </c>
      <c r="F715" s="3" t="n">
        <v>0.79</v>
      </c>
      <c r="G715" s="4">
        <f>F715/F$2*100</f>
        <v/>
      </c>
      <c r="H715" s="5">
        <f>AVERAGE(F686:F715)</f>
        <v/>
      </c>
      <c r="I715" s="5">
        <f>SLOPE(F$2:F$731,$A$2:$A$731)*$A715+INTERCEPT(F$2:F$731,$A$2:$A$731)</f>
        <v/>
      </c>
      <c r="J715" s="6" t="inlineStr">
        <is>
          <t>yes</t>
        </is>
      </c>
    </row>
    <row r="716">
      <c r="A716" s="2" t="n">
        <v>46006</v>
      </c>
      <c r="B716" s="3" t="n">
        <v>87.14</v>
      </c>
      <c r="C716" s="4">
        <f>B716/B$2*100</f>
        <v/>
      </c>
      <c r="D716" s="5">
        <f>AVERAGE(B687:B716)</f>
        <v/>
      </c>
      <c r="E716" s="5">
        <f>SLOPE(B$2:B$731,$A$2:$A$731)*$A716+INTERCEPT(B$2:B$731,$A$2:$A$731)</f>
        <v/>
      </c>
      <c r="F716" s="3" t="n">
        <v>0.79</v>
      </c>
      <c r="G716" s="4">
        <f>F716/F$2*100</f>
        <v/>
      </c>
      <c r="H716" s="5">
        <f>AVERAGE(F687:F716)</f>
        <v/>
      </c>
      <c r="I716" s="5">
        <f>SLOPE(F$2:F$731,$A$2:$A$731)*$A716+INTERCEPT(F$2:F$731,$A$2:$A$731)</f>
        <v/>
      </c>
      <c r="J716" s="6" t="inlineStr"/>
    </row>
    <row r="717">
      <c r="A717" s="2" t="n">
        <v>46007</v>
      </c>
      <c r="B717" s="3" t="n">
        <v>87.15000000000001</v>
      </c>
      <c r="C717" s="4">
        <f>B717/B$2*100</f>
        <v/>
      </c>
      <c r="D717" s="5">
        <f>AVERAGE(B688:B717)</f>
        <v/>
      </c>
      <c r="E717" s="5">
        <f>SLOPE(B$2:B$731,$A$2:$A$731)*$A717+INTERCEPT(B$2:B$731,$A$2:$A$731)</f>
        <v/>
      </c>
      <c r="F717" s="3" t="n">
        <v>0.79</v>
      </c>
      <c r="G717" s="4">
        <f>F717/F$2*100</f>
        <v/>
      </c>
      <c r="H717" s="5">
        <f>AVERAGE(F688:F717)</f>
        <v/>
      </c>
      <c r="I717" s="5">
        <f>SLOPE(F$2:F$731,$A$2:$A$731)*$A717+INTERCEPT(F$2:F$731,$A$2:$A$731)</f>
        <v/>
      </c>
      <c r="J717" s="6" t="inlineStr"/>
    </row>
    <row r="718">
      <c r="A718" s="2" t="n">
        <v>46008</v>
      </c>
      <c r="B718" s="3" t="n">
        <v>87.16</v>
      </c>
      <c r="C718" s="4">
        <f>B718/B$2*100</f>
        <v/>
      </c>
      <c r="D718" s="5">
        <f>AVERAGE(B689:B718)</f>
        <v/>
      </c>
      <c r="E718" s="5">
        <f>SLOPE(B$2:B$731,$A$2:$A$731)*$A718+INTERCEPT(B$2:B$731,$A$2:$A$731)</f>
        <v/>
      </c>
      <c r="F718" s="3" t="n">
        <v>0.79</v>
      </c>
      <c r="G718" s="4">
        <f>F718/F$2*100</f>
        <v/>
      </c>
      <c r="H718" s="5">
        <f>AVERAGE(F689:F718)</f>
        <v/>
      </c>
      <c r="I718" s="5">
        <f>SLOPE(F$2:F$731,$A$2:$A$731)*$A718+INTERCEPT(F$2:F$731,$A$2:$A$731)</f>
        <v/>
      </c>
      <c r="J718" s="6" t="inlineStr"/>
    </row>
    <row r="719">
      <c r="A719" s="2" t="n">
        <v>46009</v>
      </c>
      <c r="B719" s="3" t="n">
        <v>87.17</v>
      </c>
      <c r="C719" s="4">
        <f>B719/B$2*100</f>
        <v/>
      </c>
      <c r="D719" s="5">
        <f>AVERAGE(B690:B719)</f>
        <v/>
      </c>
      <c r="E719" s="5">
        <f>SLOPE(B$2:B$731,$A$2:$A$731)*$A719+INTERCEPT(B$2:B$731,$A$2:$A$731)</f>
        <v/>
      </c>
      <c r="F719" s="3" t="n">
        <v>0.79</v>
      </c>
      <c r="G719" s="4">
        <f>F719/F$2*100</f>
        <v/>
      </c>
      <c r="H719" s="5">
        <f>AVERAGE(F690:F719)</f>
        <v/>
      </c>
      <c r="I719" s="5">
        <f>SLOPE(F$2:F$731,$A$2:$A$731)*$A719+INTERCEPT(F$2:F$731,$A$2:$A$731)</f>
        <v/>
      </c>
      <c r="J719" s="6" t="inlineStr"/>
    </row>
    <row r="720">
      <c r="A720" s="2" t="n">
        <v>46010</v>
      </c>
      <c r="B720" s="3" t="n">
        <v>87.18000000000001</v>
      </c>
      <c r="C720" s="4">
        <f>B720/B$2*100</f>
        <v/>
      </c>
      <c r="D720" s="5">
        <f>AVERAGE(B691:B720)</f>
        <v/>
      </c>
      <c r="E720" s="5">
        <f>SLOPE(B$2:B$731,$A$2:$A$731)*$A720+INTERCEPT(B$2:B$731,$A$2:$A$731)</f>
        <v/>
      </c>
      <c r="F720" s="3" t="n">
        <v>0.79</v>
      </c>
      <c r="G720" s="4">
        <f>F720/F$2*100</f>
        <v/>
      </c>
      <c r="H720" s="5">
        <f>AVERAGE(F691:F720)</f>
        <v/>
      </c>
      <c r="I720" s="5">
        <f>SLOPE(F$2:F$731,$A$2:$A$731)*$A720+INTERCEPT(F$2:F$731,$A$2:$A$731)</f>
        <v/>
      </c>
      <c r="J720" s="6" t="inlineStr"/>
    </row>
    <row r="721">
      <c r="A721" s="2" t="n">
        <v>46011</v>
      </c>
      <c r="B721" s="3" t="n">
        <v>87.19</v>
      </c>
      <c r="C721" s="4">
        <f>B721/B$2*100</f>
        <v/>
      </c>
      <c r="D721" s="5">
        <f>AVERAGE(B692:B721)</f>
        <v/>
      </c>
      <c r="E721" s="5">
        <f>SLOPE(B$2:B$731,$A$2:$A$731)*$A721+INTERCEPT(B$2:B$731,$A$2:$A$731)</f>
        <v/>
      </c>
      <c r="F721" s="3" t="n">
        <v>0.79</v>
      </c>
      <c r="G721" s="4">
        <f>F721/F$2*100</f>
        <v/>
      </c>
      <c r="H721" s="5">
        <f>AVERAGE(F692:F721)</f>
        <v/>
      </c>
      <c r="I721" s="5">
        <f>SLOPE(F$2:F$731,$A$2:$A$731)*$A721+INTERCEPT(F$2:F$731,$A$2:$A$731)</f>
        <v/>
      </c>
      <c r="J721" s="6" t="inlineStr">
        <is>
          <t>yes</t>
        </is>
      </c>
    </row>
    <row r="722">
      <c r="A722" s="2" t="n">
        <v>46012</v>
      </c>
      <c r="B722" s="3" t="n">
        <v>87.2</v>
      </c>
      <c r="C722" s="4">
        <f>B722/B$2*100</f>
        <v/>
      </c>
      <c r="D722" s="5">
        <f>AVERAGE(B693:B722)</f>
        <v/>
      </c>
      <c r="E722" s="5">
        <f>SLOPE(B$2:B$731,$A$2:$A$731)*$A722+INTERCEPT(B$2:B$731,$A$2:$A$731)</f>
        <v/>
      </c>
      <c r="F722" s="3" t="n">
        <v>0.79</v>
      </c>
      <c r="G722" s="4">
        <f>F722/F$2*100</f>
        <v/>
      </c>
      <c r="H722" s="5">
        <f>AVERAGE(F693:F722)</f>
        <v/>
      </c>
      <c r="I722" s="5">
        <f>SLOPE(F$2:F$731,$A$2:$A$731)*$A722+INTERCEPT(F$2:F$731,$A$2:$A$731)</f>
        <v/>
      </c>
      <c r="J722" s="6" t="inlineStr">
        <is>
          <t>yes</t>
        </is>
      </c>
    </row>
    <row r="723">
      <c r="A723" s="2" t="n">
        <v>46013</v>
      </c>
      <c r="B723" s="3" t="n">
        <v>87.20999999999999</v>
      </c>
      <c r="C723" s="4">
        <f>B723/B$2*100</f>
        <v/>
      </c>
      <c r="D723" s="5">
        <f>AVERAGE(B694:B723)</f>
        <v/>
      </c>
      <c r="E723" s="5">
        <f>SLOPE(B$2:B$731,$A$2:$A$731)*$A723+INTERCEPT(B$2:B$731,$A$2:$A$731)</f>
        <v/>
      </c>
      <c r="F723" s="3" t="n">
        <v>0.79</v>
      </c>
      <c r="G723" s="4">
        <f>F723/F$2*100</f>
        <v/>
      </c>
      <c r="H723" s="5">
        <f>AVERAGE(F694:F723)</f>
        <v/>
      </c>
      <c r="I723" s="5">
        <f>SLOPE(F$2:F$731,$A$2:$A$731)*$A723+INTERCEPT(F$2:F$731,$A$2:$A$731)</f>
        <v/>
      </c>
      <c r="J723" s="6" t="inlineStr"/>
    </row>
    <row r="724">
      <c r="A724" s="2" t="n">
        <v>46014</v>
      </c>
      <c r="B724" s="3" t="n">
        <v>87.22</v>
      </c>
      <c r="C724" s="4">
        <f>B724/B$2*100</f>
        <v/>
      </c>
      <c r="D724" s="5">
        <f>AVERAGE(B695:B724)</f>
        <v/>
      </c>
      <c r="E724" s="5">
        <f>SLOPE(B$2:B$731,$A$2:$A$731)*$A724+INTERCEPT(B$2:B$731,$A$2:$A$731)</f>
        <v/>
      </c>
      <c r="F724" s="3" t="n">
        <v>0.79</v>
      </c>
      <c r="G724" s="4">
        <f>F724/F$2*100</f>
        <v/>
      </c>
      <c r="H724" s="5">
        <f>AVERAGE(F695:F724)</f>
        <v/>
      </c>
      <c r="I724" s="5">
        <f>SLOPE(F$2:F$731,$A$2:$A$731)*$A724+INTERCEPT(F$2:F$731,$A$2:$A$731)</f>
        <v/>
      </c>
      <c r="J724" s="6" t="inlineStr"/>
    </row>
    <row r="725">
      <c r="A725" s="2" t="n">
        <v>46015</v>
      </c>
      <c r="B725" s="3" t="n">
        <v>87.23</v>
      </c>
      <c r="C725" s="4">
        <f>B725/B$2*100</f>
        <v/>
      </c>
      <c r="D725" s="5">
        <f>AVERAGE(B696:B725)</f>
        <v/>
      </c>
      <c r="E725" s="5">
        <f>SLOPE(B$2:B$731,$A$2:$A$731)*$A725+INTERCEPT(B$2:B$731,$A$2:$A$731)</f>
        <v/>
      </c>
      <c r="F725" s="3" t="n">
        <v>0.79</v>
      </c>
      <c r="G725" s="4">
        <f>F725/F$2*100</f>
        <v/>
      </c>
      <c r="H725" s="5">
        <f>AVERAGE(F696:F725)</f>
        <v/>
      </c>
      <c r="I725" s="5">
        <f>SLOPE(F$2:F$731,$A$2:$A$731)*$A725+INTERCEPT(F$2:F$731,$A$2:$A$731)</f>
        <v/>
      </c>
      <c r="J725" s="6" t="inlineStr"/>
    </row>
    <row r="726">
      <c r="A726" s="2" t="n">
        <v>46016</v>
      </c>
      <c r="B726" s="3" t="n">
        <v>87.23999999999999</v>
      </c>
      <c r="C726" s="4">
        <f>B726/B$2*100</f>
        <v/>
      </c>
      <c r="D726" s="5">
        <f>AVERAGE(B697:B726)</f>
        <v/>
      </c>
      <c r="E726" s="5">
        <f>SLOPE(B$2:B$731,$A$2:$A$731)*$A726+INTERCEPT(B$2:B$731,$A$2:$A$731)</f>
        <v/>
      </c>
      <c r="F726" s="3" t="n">
        <v>0.79</v>
      </c>
      <c r="G726" s="4">
        <f>F726/F$2*100</f>
        <v/>
      </c>
      <c r="H726" s="5">
        <f>AVERAGE(F697:F726)</f>
        <v/>
      </c>
      <c r="I726" s="5">
        <f>SLOPE(F$2:F$731,$A$2:$A$731)*$A726+INTERCEPT(F$2:F$731,$A$2:$A$731)</f>
        <v/>
      </c>
      <c r="J726" s="6" t="inlineStr"/>
    </row>
    <row r="727">
      <c r="A727" s="2" t="n">
        <v>46017</v>
      </c>
      <c r="B727" s="3" t="n">
        <v>87.25</v>
      </c>
      <c r="C727" s="4">
        <f>B727/B$2*100</f>
        <v/>
      </c>
      <c r="D727" s="5">
        <f>AVERAGE(B698:B727)</f>
        <v/>
      </c>
      <c r="E727" s="5">
        <f>SLOPE(B$2:B$731,$A$2:$A$731)*$A727+INTERCEPT(B$2:B$731,$A$2:$A$731)</f>
        <v/>
      </c>
      <c r="F727" s="3" t="n">
        <v>0.79</v>
      </c>
      <c r="G727" s="4">
        <f>F727/F$2*100</f>
        <v/>
      </c>
      <c r="H727" s="5">
        <f>AVERAGE(F698:F727)</f>
        <v/>
      </c>
      <c r="I727" s="5">
        <f>SLOPE(F$2:F$731,$A$2:$A$731)*$A727+INTERCEPT(F$2:F$731,$A$2:$A$731)</f>
        <v/>
      </c>
      <c r="J727" s="6" t="inlineStr"/>
    </row>
    <row r="728">
      <c r="A728" s="2" t="n">
        <v>46018</v>
      </c>
      <c r="B728" s="3" t="n">
        <v>87.26000000000001</v>
      </c>
      <c r="C728" s="4">
        <f>B728/B$2*100</f>
        <v/>
      </c>
      <c r="D728" s="5">
        <f>AVERAGE(B699:B728)</f>
        <v/>
      </c>
      <c r="E728" s="5">
        <f>SLOPE(B$2:B$731,$A$2:$A$731)*$A728+INTERCEPT(B$2:B$731,$A$2:$A$731)</f>
        <v/>
      </c>
      <c r="F728" s="3" t="n">
        <v>0.79</v>
      </c>
      <c r="G728" s="4">
        <f>F728/F$2*100</f>
        <v/>
      </c>
      <c r="H728" s="5">
        <f>AVERAGE(F699:F728)</f>
        <v/>
      </c>
      <c r="I728" s="5">
        <f>SLOPE(F$2:F$731,$A$2:$A$731)*$A728+INTERCEPT(F$2:F$731,$A$2:$A$731)</f>
        <v/>
      </c>
      <c r="J728" s="6" t="inlineStr">
        <is>
          <t>yes</t>
        </is>
      </c>
    </row>
    <row r="729">
      <c r="A729" s="2" t="n">
        <v>46019</v>
      </c>
      <c r="B729" s="3" t="n">
        <v>87.27</v>
      </c>
      <c r="C729" s="4">
        <f>B729/B$2*100</f>
        <v/>
      </c>
      <c r="D729" s="5">
        <f>AVERAGE(B700:B729)</f>
        <v/>
      </c>
      <c r="E729" s="5">
        <f>SLOPE(B$2:B$731,$A$2:$A$731)*$A729+INTERCEPT(B$2:B$731,$A$2:$A$731)</f>
        <v/>
      </c>
      <c r="F729" s="3" t="n">
        <v>0.79</v>
      </c>
      <c r="G729" s="4">
        <f>F729/F$2*100</f>
        <v/>
      </c>
      <c r="H729" s="5">
        <f>AVERAGE(F700:F729)</f>
        <v/>
      </c>
      <c r="I729" s="5">
        <f>SLOPE(F$2:F$731,$A$2:$A$731)*$A729+INTERCEPT(F$2:F$731,$A$2:$A$731)</f>
        <v/>
      </c>
      <c r="J729" s="6" t="inlineStr">
        <is>
          <t>yes</t>
        </is>
      </c>
    </row>
    <row r="730">
      <c r="A730" s="2" t="n">
        <v>46020</v>
      </c>
      <c r="B730" s="3" t="n">
        <v>87.28</v>
      </c>
      <c r="C730" s="4">
        <f>B730/B$2*100</f>
        <v/>
      </c>
      <c r="D730" s="5">
        <f>AVERAGE(B701:B730)</f>
        <v/>
      </c>
      <c r="E730" s="5">
        <f>SLOPE(B$2:B$731,$A$2:$A$731)*$A730+INTERCEPT(B$2:B$731,$A$2:$A$731)</f>
        <v/>
      </c>
      <c r="F730" s="3" t="n">
        <v>0.79</v>
      </c>
      <c r="G730" s="4">
        <f>F730/F$2*100</f>
        <v/>
      </c>
      <c r="H730" s="5">
        <f>AVERAGE(F701:F730)</f>
        <v/>
      </c>
      <c r="I730" s="5">
        <f>SLOPE(F$2:F$731,$A$2:$A$731)*$A730+INTERCEPT(F$2:F$731,$A$2:$A$731)</f>
        <v/>
      </c>
      <c r="J730" s="6" t="inlineStr"/>
    </row>
    <row r="731">
      <c r="A731" s="2" t="n">
        <v>46021</v>
      </c>
      <c r="B731" s="3" t="n">
        <v>87.29000000000001</v>
      </c>
      <c r="C731" s="4">
        <f>B731/B$2*100</f>
        <v/>
      </c>
      <c r="D731" s="5">
        <f>AVERAGE(B702:B731)</f>
        <v/>
      </c>
      <c r="E731" s="5">
        <f>SLOPE(B$2:B$731,$A$2:$A$731)*$A731+INTERCEPT(B$2:B$731,$A$2:$A$731)</f>
        <v/>
      </c>
      <c r="F731" s="3" t="n">
        <v>0.79</v>
      </c>
      <c r="G731" s="4">
        <f>F731/F$2*100</f>
        <v/>
      </c>
      <c r="H731" s="5">
        <f>AVERAGE(F702:F731)</f>
        <v/>
      </c>
      <c r="I731" s="5">
        <f>SLOPE(F$2:F$731,$A$2:$A$731)*$A731+INTERCEPT(F$2:F$731,$A$2:$A$731)</f>
        <v/>
      </c>
      <c r="J731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Month start</t>
        </is>
      </c>
      <c r="B1" s="7" t="inlineStr">
        <is>
          <t>Month end</t>
        </is>
      </c>
      <c r="C1" s="7" t="inlineStr">
        <is>
          <t>USD/INR average</t>
        </is>
      </c>
      <c r="D1" s="7" t="inlineStr">
        <is>
          <t>USD/GBP average</t>
        </is>
      </c>
    </row>
    <row r="2">
      <c r="A2" s="2" t="n">
        <v>45292</v>
      </c>
      <c r="B2" s="2" t="n">
        <v>45323</v>
      </c>
      <c r="C2" s="5">
        <f>AVERAGEIFS(Rates!B$2:B$731,Rates!$A$2:$A$731,"&gt;="&amp;$A2,Rates!$A$2:$A$731,"&lt;"&amp;$B2)</f>
        <v/>
      </c>
      <c r="D2" s="5">
        <f>AVERAGEIFS(Rates!F$2:F$731,Rates!$A$2:$A$731,"&gt;="&amp;$A2,Rates!$A$2:$A$731,"&lt;"&amp;$B2)</f>
        <v/>
      </c>
    </row>
    <row r="3">
      <c r="A3" s="2" t="n">
        <v>45323</v>
      </c>
      <c r="B3" s="2" t="n">
        <v>45352</v>
      </c>
      <c r="C3" s="5">
        <f>AVERAGEIFS(Rates!B$2:B$731,Rates!$A$2:$A$731,"&gt;="&amp;$A3,Rates!$A$2:$A$731,"&lt;"&amp;$B3)</f>
        <v/>
      </c>
      <c r="D3" s="5">
        <f>AVERAGEIFS(Rates!F$2:F$731,Rates!$A$2:$A$731,"&gt;="&amp;$A3,Rates!$A$2:$A$731,"&lt;"&amp;$B3)</f>
        <v/>
      </c>
    </row>
    <row r="4">
      <c r="A4" s="2" t="n">
        <v>45352</v>
      </c>
      <c r="B4" s="2" t="n">
        <v>45383</v>
      </c>
      <c r="C4" s="5">
        <f>AVERAGEIFS(Rates!B$2:B$731,Rates!$A$2:$A$731,"&gt;="&amp;$A4,Rates!$A$2:$A$731,"&lt;"&amp;$B4)</f>
        <v/>
      </c>
      <c r="D4" s="5">
        <f>AVERAGEIFS(Rates!F$2:F$731,Rates!$A$2:$A$731,"&gt;="&amp;$A4,Rates!$A$2:$A$731,"&lt;"&amp;$B4)</f>
        <v/>
      </c>
    </row>
    <row r="5">
      <c r="A5" s="2" t="n">
        <v>45383</v>
      </c>
      <c r="B5" s="2" t="n">
        <v>45413</v>
      </c>
      <c r="C5" s="5">
        <f>AVERAGEIFS(Rates!B$2:B$731,Rates!$A$2:$A$731,"&gt;="&amp;$A5,Rates!$A$2:$A$731,"&lt;"&amp;$B5)</f>
        <v/>
      </c>
      <c r="D5" s="5">
        <f>AVERAGEIFS(Rates!F$2:F$731,Rates!$A$2:$A$731,"&gt;="&amp;$A5,Rates!$A$2:$A$731,"&lt;"&amp;$B5)</f>
        <v/>
      </c>
    </row>
    <row r="6">
      <c r="A6" s="2" t="n">
        <v>45413</v>
      </c>
      <c r="B6" s="2" t="n">
        <v>45444</v>
      </c>
      <c r="C6" s="5">
        <f>AVERAGEIFS(Rates!B$2:B$731,Rates!$A$2:$A$731,"&gt;="&amp;$A6,Rates!$A$2:$A$731,"&lt;"&amp;$B6)</f>
        <v/>
      </c>
      <c r="D6" s="5">
        <f>AVERAGEIFS(Rates!F$2:F$731,Rates!$A$2:$A$731,"&gt;="&amp;$A6,Rates!$A$2:$A$731,"&lt;"&amp;$B6)</f>
        <v/>
      </c>
    </row>
    <row r="7">
      <c r="A7" s="2" t="n">
        <v>45444</v>
      </c>
      <c r="B7" s="2" t="n">
        <v>45474</v>
      </c>
      <c r="C7" s="5">
        <f>AVERAGEIFS(Rates!B$2:B$731,Rates!$A$2:$A$731,"&gt;="&amp;$A7,Rates!$A$2:$A$731,"&lt;"&amp;$B7)</f>
        <v/>
      </c>
      <c r="D7" s="5">
        <f>AVERAGEIFS(Rates!F$2:F$731,Rates!$A$2:$A$731,"&gt;="&amp;$A7,Rates!$A$2:$A$731,"&lt;"&amp;$B7)</f>
        <v/>
      </c>
    </row>
    <row r="8">
      <c r="A8" s="2" t="n">
        <v>45474</v>
      </c>
      <c r="B8" s="2" t="n">
        <v>45505</v>
      </c>
      <c r="C8" s="5">
        <f>AVERAGEIFS(Rates!B$2:B$731,Rates!$A$2:$A$731,"&gt;="&amp;$A8,Rates!$A$2:$A$731,"&lt;"&amp;$B8)</f>
        <v/>
      </c>
      <c r="D8" s="5">
        <f>AVERAGEIFS(Rates!F$2:F$731,Rates!$A$2:$A$731,"&gt;="&amp;$A8,Rates!$A$2:$A$731,"&lt;"&amp;$B8)</f>
        <v/>
      </c>
    </row>
    <row r="9">
      <c r="A9" s="2" t="n">
        <v>45505</v>
      </c>
      <c r="B9" s="2" t="n">
        <v>45536</v>
      </c>
      <c r="C9" s="5">
        <f>AVERAGEIFS(Rates!B$2:B$731,Rates!$A$2:$A$731,"&gt;="&amp;$A9,Rates!$A$2:$A$731,"&lt;"&amp;$B9)</f>
        <v/>
      </c>
      <c r="D9" s="5">
        <f>AVERAGEIFS(Rates!F$2:F$731,Rates!$A$2:$A$731,"&gt;="&amp;$A9,Rates!$A$2:$A$731,"&lt;"&amp;$B9)</f>
        <v/>
      </c>
    </row>
    <row r="10">
      <c r="A10" s="2" t="n">
        <v>45536</v>
      </c>
      <c r="B10" s="2" t="n">
        <v>45566</v>
      </c>
      <c r="C10" s="5">
        <f>AVERAGEIFS(Rates!B$2:B$731,Rates!$A$2:$A$731,"&gt;="&amp;$A10,Rates!$A$2:$A$731,"&lt;"&amp;$B10)</f>
        <v/>
      </c>
      <c r="D10" s="5">
        <f>AVERAGEIFS(Rates!F$2:F$731,Rates!$A$2:$A$731,"&gt;="&amp;$A10,Rates!$A$2:$A$731,"&lt;"&amp;$B10)</f>
        <v/>
      </c>
    </row>
    <row r="11">
      <c r="A11" s="2" t="n">
        <v>45566</v>
      </c>
      <c r="B11" s="2" t="n">
        <v>45597</v>
      </c>
      <c r="C11" s="5">
        <f>AVERAGEIFS(Rates!B$2:B$731,Rates!$A$2:$A$731,"&gt;="&amp;$A11,Rates!$A$2:$A$731,"&lt;"&amp;$B11)</f>
        <v/>
      </c>
      <c r="D11" s="5">
        <f>AVERAGEIFS(Rates!F$2:F$731,Rates!$A$2:$A$731,"&gt;="&amp;$A11,Rates!$A$2:$A$731,"&lt;"&amp;$B11)</f>
        <v/>
      </c>
    </row>
    <row r="12">
      <c r="A12" s="2" t="n">
        <v>45597</v>
      </c>
      <c r="B12" s="2" t="n">
        <v>45627</v>
      </c>
      <c r="C12" s="5">
        <f>AVERAGEIFS(Rates!B$2:B$731,Rates!$A$2:$A$731,"&gt;="&amp;$A12,Rates!$A$2:$A$731,"&lt;"&amp;$B12)</f>
        <v/>
      </c>
      <c r="D12" s="5">
        <f>AVERAGEIFS(Rates!F$2:F$731,Rates!$A$2:$A$731,"&gt;="&amp;$A12,Rates!$A$2:$A$731,"&lt;"&amp;$B12)</f>
        <v/>
      </c>
    </row>
    <row r="13">
      <c r="A13" s="2" t="n">
        <v>45627</v>
      </c>
      <c r="B13" s="2" t="n">
        <v>45658</v>
      </c>
      <c r="C13" s="5">
        <f>AVERAGEIFS(Rates!B$2:B$731,Rates!$A$2:$A$731,"&gt;="&amp;$A13,Rates!$A$2:$A$731,"&lt;"&amp;$B13)</f>
        <v/>
      </c>
      <c r="D13" s="5">
        <f>AVERAGEIFS(Rates!F$2:F$731,Rates!$A$2:$A$731,"&gt;="&amp;$A13,Rates!$A$2:$A$731,"&lt;"&amp;$B13)</f>
        <v/>
      </c>
    </row>
    <row r="14">
      <c r="A14" s="2" t="n">
        <v>45658</v>
      </c>
      <c r="B14" s="2" t="n">
        <v>45689</v>
      </c>
      <c r="C14" s="5">
        <f>AVERAGEIFS(Rates!B$2:B$731,Rates!$A$2:$A$731,"&gt;="&amp;$A14,Rates!$A$2:$A$731,"&lt;"&amp;$B14)</f>
        <v/>
      </c>
      <c r="D14" s="5">
        <f>AVERAGEIFS(Rates!F$2:F$731,Rates!$A$2:$A$731,"&gt;="&amp;$A14,Rates!$A$2:$A$731,"&lt;"&amp;$B14)</f>
        <v/>
      </c>
    </row>
    <row r="15">
      <c r="A15" s="2" t="n">
        <v>45689</v>
      </c>
      <c r="B15" s="2" t="n">
        <v>45717</v>
      </c>
      <c r="C15" s="5">
        <f>AVERAGEIFS(Rates!B$2:B$731,Rates!$A$2:$A$731,"&gt;="&amp;$A15,Rates!$A$2:$A$731,"&lt;"&amp;$B15)</f>
        <v/>
      </c>
      <c r="D15" s="5">
        <f>AVERAGEIFS(Rates!F$2:F$731,Rates!$A$2:$A$731,"&gt;="&amp;$A15,Rates!$A$2:$A$731,"&lt;"&amp;$B15)</f>
        <v/>
      </c>
    </row>
    <row r="16">
      <c r="A16" s="2" t="n">
        <v>45717</v>
      </c>
      <c r="B16" s="2" t="n">
        <v>45748</v>
      </c>
      <c r="C16" s="5">
        <f>AVERAGEIFS(Rates!B$2:B$731,Rates!$A$2:$A$731,"&gt;="&amp;$A16,Rates!$A$2:$A$731,"&lt;"&amp;$B16)</f>
        <v/>
      </c>
      <c r="D16" s="5">
        <f>AVERAGEIFS(Rates!F$2:F$731,Rates!$A$2:$A$731,"&gt;="&amp;$A16,Rates!$A$2:$A$731,"&lt;"&amp;$B16)</f>
        <v/>
      </c>
    </row>
    <row r="17">
      <c r="A17" s="2" t="n">
        <v>45748</v>
      </c>
      <c r="B17" s="2" t="n">
        <v>45778</v>
      </c>
      <c r="C17" s="5">
        <f>AVERAGEIFS(Rates!B$2:B$731,Rates!$A$2:$A$731,"&gt;="&amp;$A17,Rates!$A$2:$A$731,"&lt;"&amp;$B17)</f>
        <v/>
      </c>
      <c r="D17" s="5">
        <f>AVERAGEIFS(Rates!F$2:F$731,Rates!$A$2:$A$731,"&gt;="&amp;$A17,Rates!$A$2:$A$731,"&lt;"&amp;$B17)</f>
        <v/>
      </c>
    </row>
    <row r="18">
      <c r="A18" s="2" t="n">
        <v>45778</v>
      </c>
      <c r="B18" s="2" t="n">
        <v>45809</v>
      </c>
      <c r="C18" s="5">
        <f>AVERAGEIFS(Rates!B$2:B$731,Rates!$A$2:$A$731,"&gt;="&amp;$A18,Rates!$A$2:$A$731,"&lt;"&amp;$B18)</f>
        <v/>
      </c>
      <c r="D18" s="5">
        <f>AVERAGEIFS(Rates!F$2:F$731,Rates!$A$2:$A$731,"&gt;="&amp;$A18,Rates!$A$2:$A$731,"&lt;"&amp;$B18)</f>
        <v/>
      </c>
    </row>
    <row r="19">
      <c r="A19" s="2" t="n">
        <v>45809</v>
      </c>
      <c r="B19" s="2" t="n">
        <v>45839</v>
      </c>
      <c r="C19" s="5">
        <f>AVERAGEIFS(Rates!B$2:B$731,Rates!$A$2:$A$731,"&gt;="&amp;$A19,Rates!$A$2:$A$731,"&lt;"&amp;$B19)</f>
        <v/>
      </c>
      <c r="D19" s="5">
        <f>AVERAGEIFS(Rates!F$2:F$731,Rates!$A$2:$A$731,"&gt;="&amp;$A19,Rates!$A$2:$A$731,"&lt;"&amp;$B19)</f>
        <v/>
      </c>
    </row>
    <row r="20">
      <c r="A20" s="2" t="n">
        <v>45839</v>
      </c>
      <c r="B20" s="2" t="n">
        <v>45870</v>
      </c>
      <c r="C20" s="5">
        <f>AVERAGEIFS(Rates!B$2:B$731,Rates!$A$2:$A$731,"&gt;="&amp;$A20,Rates!$A$2:$A$731,"&lt;"&amp;$B20)</f>
        <v/>
      </c>
      <c r="D20" s="5">
        <f>AVERAGEIFS(Rates!F$2:F$731,Rates!$A$2:$A$731,"&gt;="&amp;$A20,Rates!$A$2:$A$731,"&lt;"&amp;$B20)</f>
        <v/>
      </c>
    </row>
    <row r="21">
      <c r="A21" s="2" t="n">
        <v>45870</v>
      </c>
      <c r="B21" s="2" t="n">
        <v>45901</v>
      </c>
      <c r="C21" s="5">
        <f>AVERAGEIFS(Rates!B$2:B$731,Rates!$A$2:$A$731,"&gt;="&amp;$A21,Rates!$A$2:$A$731,"&lt;"&amp;$B21)</f>
        <v/>
      </c>
      <c r="D21" s="5">
        <f>AVERAGEIFS(Rates!F$2:F$731,Rates!$A$2:$A$731,"&gt;="&amp;$A21,Rates!$A$2:$A$731,"&lt;"&amp;$B21)</f>
        <v/>
      </c>
    </row>
    <row r="22">
      <c r="A22" s="2" t="n">
        <v>45901</v>
      </c>
      <c r="B22" s="2" t="n">
        <v>45931</v>
      </c>
      <c r="C22" s="5">
        <f>AVERAGEIFS(Rates!B$2:B$731,Rates!$A$2:$A$731,"&gt;="&amp;$A22,Rates!$A$2:$A$731,"&lt;"&amp;$B22)</f>
        <v/>
      </c>
      <c r="D22" s="5">
        <f>AVERAGEIFS(Rates!F$2:F$731,Rates!$A$2:$A$731,"&gt;="&amp;$A22,Rates!$A$2:$A$731,"&lt;"&amp;$B22)</f>
        <v/>
      </c>
    </row>
    <row r="23">
      <c r="A23" s="2" t="n">
        <v>45931</v>
      </c>
      <c r="B23" s="2" t="n">
        <v>45962</v>
      </c>
      <c r="C23" s="5">
        <f>AVERAGEIFS(Rates!B$2:B$731,Rates!$A$2:$A$731,"&gt;="&amp;$A23,Rates!$A$2:$A$731,"&lt;"&amp;$B23)</f>
        <v/>
      </c>
      <c r="D23" s="5">
        <f>AVERAGEIFS(Rates!F$2:F$731,Rates!$A$2:$A$731,"&gt;="&amp;$A23,Rates!$A$2:$A$731,"&lt;"&amp;$B23)</f>
        <v/>
      </c>
    </row>
    <row r="24">
      <c r="A24" s="2" t="n">
        <v>45962</v>
      </c>
      <c r="B24" s="2" t="n">
        <v>45992</v>
      </c>
      <c r="C24" s="5">
        <f>AVERAGEIFS(Rates!B$2:B$731,Rates!$A$2:$A$731,"&gt;="&amp;$A24,Rates!$A$2:$A$731,"&lt;"&amp;$B24)</f>
        <v/>
      </c>
      <c r="D24" s="5">
        <f>AVERAGEIFS(Rates!F$2:F$731,Rates!$A$2:$A$731,"&gt;="&amp;$A24,Rates!$A$2:$A$731,"&lt;"&amp;$B24)</f>
        <v/>
      </c>
    </row>
    <row r="25">
      <c r="A25" s="2" t="n">
        <v>45992</v>
      </c>
      <c r="B25" s="2" t="n">
        <v>46023</v>
      </c>
      <c r="C25" s="5">
        <f>AVERAGEIFS(Rates!B$2:B$731,Rates!$A$2:$A$731,"&gt;="&amp;$A25,Rates!$A$2:$A$731,"&lt;"&amp;$B25)</f>
        <v/>
      </c>
      <c r="D25" s="5">
        <f>AVERAGEIFS(Rates!F$2:F$731,Rates!$A$2:$A$731,"&gt;="&amp;$A25,Rates!$A$2:$A$731,"&lt;"&amp;$B25)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How this workbook was built</t>
        </is>
      </c>
    </row>
    <row r="3">
      <c r="A3" s="9" t="inlineStr">
        <is>
          <t>Source</t>
        </is>
      </c>
      <c r="B3" s="10" t="inlineStr">
        <is>
          <t>synthetic fixture</t>
        </is>
      </c>
    </row>
    <row r="4">
      <c r="A4" s="9" t="inlineStr">
        <is>
          <t>Retrieved</t>
        </is>
      </c>
      <c r="B4" s="10" t="inlineStr">
        <is>
          <t>2026-08-16 18:42</t>
        </is>
      </c>
    </row>
    <row r="5">
      <c r="A5" s="9" t="inlineStr">
        <is>
          <t>Base currency</t>
        </is>
      </c>
      <c r="B5" s="10" t="inlineStr">
        <is>
          <t>USD</t>
        </is>
      </c>
    </row>
    <row r="6">
      <c r="A6" s="9" t="inlineStr">
        <is>
          <t>Quote currencies</t>
        </is>
      </c>
      <c r="B6" s="10" t="inlineStr">
        <is>
          <t>INR, GBP</t>
        </is>
      </c>
    </row>
    <row r="7">
      <c r="A7" s="9" t="inlineStr">
        <is>
          <t>First published rate</t>
        </is>
      </c>
      <c r="B7" s="10" t="inlineStr">
        <is>
          <t>2024-01-01</t>
        </is>
      </c>
    </row>
    <row r="8">
      <c r="A8" s="9" t="inlineStr">
        <is>
          <t>Last published rate</t>
        </is>
      </c>
      <c r="B8" s="10" t="inlineStr">
        <is>
          <t>2025-12-30</t>
        </is>
      </c>
    </row>
    <row r="9">
      <c r="A9" s="9" t="inlineStr">
        <is>
          <t>Published business days</t>
        </is>
      </c>
      <c r="B9" s="10" t="inlineStr">
        <is>
          <t>522</t>
        </is>
      </c>
    </row>
    <row r="10">
      <c r="A10" s="9" t="inlineStr">
        <is>
          <t>Calendar days in sheet</t>
        </is>
      </c>
      <c r="B10" s="10" t="inlineStr">
        <is>
          <t>730</t>
        </is>
      </c>
    </row>
    <row r="11">
      <c r="A11" s="9" t="inlineStr">
        <is>
          <t>Days carried forward</t>
        </is>
      </c>
      <c r="B11" s="10" t="inlineStr">
        <is>
          <t>208</t>
        </is>
      </c>
    </row>
    <row r="12">
      <c r="A12" s="9" t="inlineStr">
        <is>
          <t>Cross-rate caveat</t>
        </is>
      </c>
      <c r="B12" s="10" t="inlineStr">
        <is>
          <t>test fixture</t>
        </is>
      </c>
    </row>
    <row r="13">
      <c r="A13" s="9" t="inlineStr">
        <is>
          <t>Gap handling</t>
        </is>
      </c>
      <c r="B13" s="10" t="inlineStr">
        <is>
          <t>The ECB publishes on business days only. Weekend and holiday rows carry the previous published rate forward and are flagged in the Rates sheet.</t>
        </is>
      </c>
    </row>
    <row r="14">
      <c r="A14" s="9" t="inlineStr">
        <is>
          <t>Trend method</t>
        </is>
      </c>
      <c r="B14" s="10" t="inlineStr">
        <is>
          <t>Ordinary least squares on rate against date serial, computed live by SLOPE and INTERCEPT so the fit updates if rows are added or removed.</t>
        </is>
      </c>
    </row>
    <row r="15">
      <c r="A15" s="9" t="inlineStr">
        <is>
          <t>Index method</t>
        </is>
      </c>
      <c r="B15" s="10" t="inlineStr">
        <is>
          <t>Each rate divided by the first rate in the series, times 100. Used for the comparison chart because the three pairs differ by orders of magnitude.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2026-08-16T18:42:42Z</dcterms:created>
  <dcterms:modified xmlns:dcterms="http://purl.org/dc/terms/" xmlns:xsi="http://www.w3.org/2001/XMLSchema-instance" xsi:type="dcterms:W3CDTF">2026-08-16T18:42:42Z</dcterms:modified>
</cp:coreProperties>
</file>